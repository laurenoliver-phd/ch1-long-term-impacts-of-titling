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oliver/chapter-1/docs/"/>
    </mc:Choice>
  </mc:AlternateContent>
  <xr:revisionPtr revIDLastSave="0" documentId="13_ncr:1_{DF016B21-A493-5548-9646-DE5A8A0DAE34}" xr6:coauthVersionLast="47" xr6:coauthVersionMax="47" xr10:uidLastSave="{00000000-0000-0000-0000-000000000000}"/>
  <bookViews>
    <workbookView xWindow="3220" yWindow="1900" windowWidth="30240" windowHeight="16940" activeTab="3" xr2:uid="{5C7E9B5B-D5EB-5740-A523-429EC53241C8}"/>
  </bookViews>
  <sheets>
    <sheet name="Variable Definitions" sheetId="1" r:id="rId1"/>
    <sheet name="Crop Codes, Groups, Prices" sheetId="2" r:id="rId2"/>
    <sheet name="Local Units" sheetId="3" r:id="rId3"/>
    <sheet name="Variable Construc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8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<sst xmlns="http://schemas.openxmlformats.org/spreadsheetml/2006/main" count="576" uniqueCount="430">
  <si>
    <t>HH fears land conflict*</t>
  </si>
  <si>
    <t>HH perceives risk of disagreement regarding the rights associated with parcel over the next 5 years</t>
  </si>
  <si>
    <t>HH head can sell land*</t>
  </si>
  <si>
    <t xml:space="preserve">Dummy: At least one hh member has right to sell </t>
  </si>
  <si>
    <t>HH head can bequeath land*</t>
  </si>
  <si>
    <t>At least one HH member has the right to bequeath property as inheritance</t>
  </si>
  <si>
    <t>HH farms on rented land*</t>
  </si>
  <si>
    <t>HH is loaning, shareholding, or sharecropping the plot</t>
  </si>
  <si>
    <t>Total land size (ha)</t>
  </si>
  <si>
    <t>Self-reported plot size in hectares</t>
  </si>
  <si>
    <t>Fertilizer / improved seeds*</t>
  </si>
  <si>
    <t>Cereals*</t>
  </si>
  <si>
    <t>Dummy: HH grows millet, sorghum, rice or maize</t>
  </si>
  <si>
    <t>Pulses*</t>
  </si>
  <si>
    <t>Dummy: HH grows black-eyed peas or peanuts</t>
  </si>
  <si>
    <t>Vegetables*</t>
  </si>
  <si>
    <t>Dummy: HH grows okra, peppers, or tomatoes</t>
  </si>
  <si>
    <t>Annual cash crops*</t>
  </si>
  <si>
    <t>Dummy: HH grows seasame, cotton, or pineapple</t>
  </si>
  <si>
    <t>Perennial cash crops*</t>
  </si>
  <si>
    <t xml:space="preserve">Dummy: HH grows oil palm or cashews </t>
  </si>
  <si>
    <t>fear_conflict</t>
  </si>
  <si>
    <t>can_sell</t>
  </si>
  <si>
    <t>rents_land</t>
  </si>
  <si>
    <t>plot_size_ha</t>
  </si>
  <si>
    <t>cereals</t>
  </si>
  <si>
    <t>pulses</t>
  </si>
  <si>
    <t>vegetables</t>
  </si>
  <si>
    <t>annual_cash_crop</t>
  </si>
  <si>
    <t>per_cash_crop</t>
  </si>
  <si>
    <t>can_beq</t>
  </si>
  <si>
    <t>input_dummy</t>
  </si>
  <si>
    <t>Dummy: HH uses fertilizer (animal waste, HH waste, or chemical/organic fertilizer) OR HH uses improved seeds on land</t>
  </si>
  <si>
    <t>Farm labor supply (person-days/ha)</t>
  </si>
  <si>
    <t>Log total output (USD)</t>
  </si>
  <si>
    <t>Log yield (USD/ha)</t>
  </si>
  <si>
    <t>Sum of consumed, gifted, sold, and stocked harvest for each crop in kilograms</t>
  </si>
  <si>
    <t>total_kg</t>
  </si>
  <si>
    <t>total_usd</t>
  </si>
  <si>
    <t>total_kg * price_kg</t>
  </si>
  <si>
    <t>Crop Price</t>
  </si>
  <si>
    <t>price_kg</t>
  </si>
  <si>
    <t>FAOSTAT Price per kilogram of crop</t>
  </si>
  <si>
    <t>Total Plot Output (USD)</t>
  </si>
  <si>
    <t>Total Crop Output (kg) - per plot-crop pair</t>
  </si>
  <si>
    <t>Total Crop Output (USD) - per plot-crop pair</t>
  </si>
  <si>
    <t>Sum of crop outputs (USD) for each plot</t>
  </si>
  <si>
    <t>plot_total_usd</t>
  </si>
  <si>
    <t>plot_yield_usd_ha</t>
  </si>
  <si>
    <t>total_farm_area_ha</t>
  </si>
  <si>
    <t>Outcome Variables</t>
  </si>
  <si>
    <t>farm_yield_usd_ha</t>
  </si>
  <si>
    <t>Millet</t>
  </si>
  <si>
    <t>Cereal</t>
  </si>
  <si>
    <t>Sorghum</t>
  </si>
  <si>
    <t>Rice</t>
  </si>
  <si>
    <t>Maize</t>
  </si>
  <si>
    <t>Black-eyed pea</t>
  </si>
  <si>
    <t>Pulse</t>
  </si>
  <si>
    <t>Peanut</t>
  </si>
  <si>
    <t>Okra</t>
  </si>
  <si>
    <t>Vegetable</t>
  </si>
  <si>
    <t>Sesame</t>
  </si>
  <si>
    <t>Annual Cash Crop</t>
  </si>
  <si>
    <t>Manioc</t>
  </si>
  <si>
    <t>Pepper</t>
  </si>
  <si>
    <t>Tomato</t>
  </si>
  <si>
    <t>Cotton</t>
  </si>
  <si>
    <t>Yams</t>
  </si>
  <si>
    <t>Oil Palm</t>
  </si>
  <si>
    <t>Perennial Cash Crop</t>
  </si>
  <si>
    <t>Cashew</t>
  </si>
  <si>
    <t>Pineapple</t>
  </si>
  <si>
    <t xml:space="preserve">Soy </t>
  </si>
  <si>
    <t>Other</t>
  </si>
  <si>
    <t>Year</t>
  </si>
  <si>
    <t>Final_Value</t>
  </si>
  <si>
    <t>Source</t>
  </si>
  <si>
    <t>Mil</t>
  </si>
  <si>
    <t>FAOSTAT - Producer Price (USD/tonne) - Annual Value - Millet - 2022</t>
  </si>
  <si>
    <t>Sorgho</t>
  </si>
  <si>
    <t>FAOSTAT - Producer Price (USD/tonne) - Annual Value - Sorghum - 2022</t>
  </si>
  <si>
    <t>Riz Paddy</t>
  </si>
  <si>
    <t>FAOSTAT - Producer Price (USD/tonne) - Annual Value - Rice - 2022</t>
  </si>
  <si>
    <t>Maïs</t>
  </si>
  <si>
    <t>FAOSTAT - Producer Price (USD/tonne) - Annual Value - Maize (Corn) - 2022</t>
  </si>
  <si>
    <t>Niébé</t>
  </si>
  <si>
    <t>FAOSTAT - Producer Price (USD/tonne) - Annual Value - Beans, dry - 2022</t>
  </si>
  <si>
    <t>Arachide</t>
  </si>
  <si>
    <r>
      <t xml:space="preserve">FAOSTAT - Producer Price (USD/tonne) - Annual Value - Groundnuts - </t>
    </r>
    <r>
      <rPr>
        <sz val="12"/>
        <color theme="1"/>
        <rFont val="Aptos Narrow (Body)"/>
      </rPr>
      <t>2022</t>
    </r>
    <r>
      <rPr>
        <sz val="12"/>
        <color rgb="FFFF0000"/>
        <rFont val="Aptos Narrow (Body)"/>
      </rPr>
      <t xml:space="preserve"> Togo</t>
    </r>
  </si>
  <si>
    <t>Gombo</t>
  </si>
  <si>
    <t>FAOSTAT - Producer Price (USD/tonne) - Annual Value - Okra - 2022</t>
  </si>
  <si>
    <t>Sésame</t>
  </si>
  <si>
    <r>
      <t xml:space="preserve">FAOSTAT - Producer Price (USD/tonne) - Annual Value - Sesame Seed - </t>
    </r>
    <r>
      <rPr>
        <sz val="12"/>
        <color rgb="FFFF0000"/>
        <rFont val="Aptos Narrow (Body)"/>
      </rPr>
      <t>2019 Togo</t>
    </r>
  </si>
  <si>
    <t>FAOSTAT - Producer Price (USD/tonne) - Annual Value - Cassava, fresh - 2022</t>
  </si>
  <si>
    <t>Piment</t>
  </si>
  <si>
    <t>FAOSTAT - Producer Price (USD/tonne) - Annual Value - Other vegetables, fresh n.e.c. - 2022</t>
  </si>
  <si>
    <t>Tomate</t>
  </si>
  <si>
    <t>FAOSTAT - Producer Price (USD/tonne) - Annual Value - Tomatoes - 2022</t>
  </si>
  <si>
    <t>Coton</t>
  </si>
  <si>
    <r>
      <t xml:space="preserve">FAOSTAT - Producer Price (USD/tonne) - Annual Value - Seed cotton, unginned - </t>
    </r>
    <r>
      <rPr>
        <sz val="12"/>
        <color rgb="FFFF0000"/>
        <rFont val="Aptos Narrow (Body)"/>
      </rPr>
      <t>2009</t>
    </r>
  </si>
  <si>
    <t>Igname</t>
  </si>
  <si>
    <t>FAOSTAT - Producer Price (USD/tonne) - Annual Value - Yams - 2022</t>
  </si>
  <si>
    <t>Palmier à huile</t>
  </si>
  <si>
    <r>
      <t xml:space="preserve">FAOSTAT - Producer Price (USD/tonne) - Annual Value - Oil Palm - </t>
    </r>
    <r>
      <rPr>
        <sz val="12"/>
        <color rgb="FFFF0000"/>
        <rFont val="Aptos Narrow (Body)"/>
      </rPr>
      <t>2019 Togo</t>
    </r>
  </si>
  <si>
    <t>Anacarde</t>
  </si>
  <si>
    <r>
      <t xml:space="preserve">FAOSTAT - Producer Price (USD/tonne) - Annual Value - Yams - </t>
    </r>
    <r>
      <rPr>
        <sz val="12"/>
        <color rgb="FFFF0000"/>
        <rFont val="Aptos Narrow (Body)"/>
      </rPr>
      <t>2019 Togo</t>
    </r>
  </si>
  <si>
    <t>Ananas</t>
  </si>
  <si>
    <r>
      <t xml:space="preserve">FAOSTAT - Producer Price (USD/tonne) - Annual Value - Pineapple - </t>
    </r>
    <r>
      <rPr>
        <sz val="12"/>
        <color rgb="FFFF0000"/>
        <rFont val="Aptos Narrow (Body)"/>
      </rPr>
      <t>2019 Togo</t>
    </r>
  </si>
  <si>
    <t>Soja</t>
  </si>
  <si>
    <t>mutate( price_2022 = price * (1.03)^(2022 - year))</t>
  </si>
  <si>
    <t xml:space="preserve">* Use a 3% annual inflation rate to estimate 2022 values </t>
  </si>
  <si>
    <t>Local Measurement Units &amp; Conversions</t>
  </si>
  <si>
    <t>Name</t>
  </si>
  <si>
    <t># kgs</t>
  </si>
  <si>
    <t>kilogram</t>
  </si>
  <si>
    <t>tonne</t>
  </si>
  <si>
    <t>tongolo</t>
  </si>
  <si>
    <t>Bassine Grande</t>
  </si>
  <si>
    <t>25 kg sack</t>
  </si>
  <si>
    <t>50 kg sack</t>
  </si>
  <si>
    <t>100 kg sack</t>
  </si>
  <si>
    <t>Variables</t>
  </si>
  <si>
    <t>s16dq02b</t>
  </si>
  <si>
    <t>s16dq03b</t>
  </si>
  <si>
    <t>s16dq05b</t>
  </si>
  <si>
    <t>s16dq13b</t>
  </si>
  <si>
    <t>16D.02b. Unité locale de mesure </t>
  </si>
  <si>
    <t>16D.02b. Local unit of measurement</t>
  </si>
  <si>
    <t>16D.03b. Unité locale de mesure </t>
  </si>
  <si>
    <t>16D.03b. Local unit of measurement</t>
  </si>
  <si>
    <t>16D.05b. Unité locale de mesure </t>
  </si>
  <si>
    <t>16D.05b. Local unit of measurement</t>
  </si>
  <si>
    <t>16D.13b. Local unit of measurement</t>
  </si>
  <si>
    <t>16D.13b. Unité locale de mesure</t>
  </si>
  <si>
    <t>Plot Yield (USD/ha)</t>
  </si>
  <si>
    <t>total_usd / plot_size_ha</t>
  </si>
  <si>
    <t>Plot size (ha)</t>
  </si>
  <si>
    <t>Farm size</t>
  </si>
  <si>
    <t xml:space="preserve">Sum(plot_size_ha) for each farm </t>
  </si>
  <si>
    <t>Farm yield</t>
  </si>
  <si>
    <t>Sum of plot outputs for each farm</t>
  </si>
  <si>
    <t>Farm output</t>
  </si>
  <si>
    <t>farm_total_usd</t>
  </si>
  <si>
    <t>farm_total_usd / total_farm_area_ha</t>
  </si>
  <si>
    <t>labor_days</t>
  </si>
  <si>
    <t>Days spent preparing soil, maintaining fields, and harvesting - per crop</t>
  </si>
  <si>
    <t>Crop labor days (person-days)</t>
  </si>
  <si>
    <t>Plot Labor Days</t>
  </si>
  <si>
    <t>Plot Labor Rate</t>
  </si>
  <si>
    <t>Farm Labor Days</t>
  </si>
  <si>
    <t>Farm Labor Rate</t>
  </si>
  <si>
    <t>labor_days_plot</t>
  </si>
  <si>
    <t>labor_days_farm</t>
  </si>
  <si>
    <t>labor_rate_plot</t>
  </si>
  <si>
    <t>labor_rate_farm</t>
  </si>
  <si>
    <t>Sum of labor days for each plot</t>
  </si>
  <si>
    <t>labor_days_plot / plot_size_ha</t>
  </si>
  <si>
    <t>Sum of labor days for each farm</t>
  </si>
  <si>
    <t>labor_days_farm / total_farm_area_ha</t>
  </si>
  <si>
    <t>Controls</t>
  </si>
  <si>
    <t>Group</t>
  </si>
  <si>
    <t>Village ID</t>
  </si>
  <si>
    <t>grappe</t>
  </si>
  <si>
    <t>s01_me_ben2021</t>
  </si>
  <si>
    <t>Household ID</t>
  </si>
  <si>
    <t>menage</t>
  </si>
  <si>
    <t>HH Member ID</t>
  </si>
  <si>
    <t>membres__id</t>
  </si>
  <si>
    <t>Gender</t>
  </si>
  <si>
    <t>gender</t>
  </si>
  <si>
    <t>s01q01</t>
  </si>
  <si>
    <t>Marital Status</t>
  </si>
  <si>
    <t>hh_status</t>
  </si>
  <si>
    <t>s01q02</t>
  </si>
  <si>
    <t>Year of Birth</t>
  </si>
  <si>
    <t>year_birth</t>
  </si>
  <si>
    <t>s01q03c</t>
  </si>
  <si>
    <t>Age</t>
  </si>
  <si>
    <t>age</t>
  </si>
  <si>
    <t>age = 2022 - year_birth</t>
  </si>
  <si>
    <t xml:space="preserve">mutate(age = 2022 - year_birth) </t>
  </si>
  <si>
    <t>HH Head*</t>
  </si>
  <si>
    <t>Dummy: Individual is head of household</t>
  </si>
  <si>
    <t>hh_head</t>
  </si>
  <si>
    <t>mutate(hh_head = ifelse(hh_status == 1, 1, 0)</t>
  </si>
  <si>
    <t>Num. Men</t>
  </si>
  <si>
    <t>Number of men (age 15+) in household</t>
  </si>
  <si>
    <t>num_men</t>
  </si>
  <si>
    <t>hh_comp &lt;- hh_id21 %&gt;%
  group_by(grappe, menage) %&gt;%
  summarise(
    num_men   = sum(gender == 1&amp; age &gt;= 15, na.rm = TRUE),
    num_women = sum(gender == 2 &amp; age &gt;= 15, na.rm = TRUE)
  )  %&gt;%
  ungroup()</t>
  </si>
  <si>
    <t>Num. Women</t>
  </si>
  <si>
    <t>Number of women (age 15+) in household</t>
  </si>
  <si>
    <t>num_women</t>
  </si>
  <si>
    <t>Age Head</t>
  </si>
  <si>
    <t>Age of HH head</t>
  </si>
  <si>
    <t>hage</t>
  </si>
  <si>
    <t>ehcvm_welfare_ben2021</t>
  </si>
  <si>
    <t>Educ. Head (Factor)</t>
  </si>
  <si>
    <t>Level of education of HH Head</t>
  </si>
  <si>
    <t>heduc</t>
  </si>
  <si>
    <t>HH Size</t>
  </si>
  <si>
    <t>Number of people in HH</t>
  </si>
  <si>
    <t>hhsize</t>
  </si>
  <si>
    <t>Religion - Head (Raw)</t>
  </si>
  <si>
    <t>Religion of HH Head (Raw)</t>
  </si>
  <si>
    <t>hreligion</t>
  </si>
  <si>
    <t>Marital Status - Head (Raw)</t>
  </si>
  <si>
    <t>Marital Status of HH Head (Raw)</t>
  </si>
  <si>
    <t>hmstat</t>
  </si>
  <si>
    <t>Num. Children</t>
  </si>
  <si>
    <t xml:space="preserve">Number of Children in HH (age &lt;15) </t>
  </si>
  <si>
    <t>num_children</t>
  </si>
  <si>
    <t>mutate(num_children = hhsize - num_women - num_men)</t>
  </si>
  <si>
    <t xml:space="preserve">Religion - Head </t>
  </si>
  <si>
    <t>religion_head</t>
  </si>
  <si>
    <t>mutate(
    religion_head = case_when(
      hreligion %in% 1 ~ 1,   # Muslim
      hreligion %in% 2 ~ 2,   # Christian
      hreligion %in% c(3,4,5) ~ 0,  # Other
      TRUE ~ NA_real_
    ),
    religion_head = factor(
      religion_head,
      levels = c(0,1,2),
      labels = c("Other", "Muslim", "Christian")
    )</t>
  </si>
  <si>
    <t>Marital Status - Head</t>
  </si>
  <si>
    <t>married</t>
  </si>
  <si>
    <t>mutate(
    married = case_when(
      hmstat %in% c(2, 3) ~ 1,
      hmstat %in% c(1, 4, 5, 6, 7) ~ 0,
      TRUE ~ NA_real_
    )
  )</t>
  </si>
  <si>
    <t xml:space="preserve">Educ. Head (Years) </t>
  </si>
  <si>
    <t>Years of education obtained by HH Head</t>
  </si>
  <si>
    <t>educ_years</t>
  </si>
  <si>
    <t>educ_years = case_when(
    heduc  == 1 ~ 0,   # Aucun
    heduc  == 2 ~ 1,   # Maternelle
    heduc  == 3 ~ 6,   # Primaire
    heduc  == 4 ~ 10,  # Secondaire general 1
    heduc == 5 ~ 10,  # Secondaire technique 1
    heduc == 6 ~ 13,  # Secondaire general 2
    heduc == 7 ~ 13,  # Secondaire technique 2
    heduc == 8 ~ 16,  # Postsecondaire
    heduc == 9 ~ 16,  # Superieur
    TRUE ~ NA_real_
  ))</t>
  </si>
  <si>
    <t>Intermediate Variables</t>
  </si>
  <si>
    <t>s16aq15</t>
  </si>
  <si>
    <t>s16a_me_ben2021</t>
  </si>
  <si>
    <t>16A.15. Pense risque désaccord droits associés parcelle 5 prochaines années?</t>
  </si>
  <si>
    <t>Do you foresee any risk of disagreement regarding the rights associated with parcel over the next 5 years?</t>
  </si>
  <si>
    <t>fear_conflict = case_when(
    s16aq15 == 1 ~ 1,
    s16aq15 == 2 ~ 0,
    TRUE ~ NA_real_
  )</t>
  </si>
  <si>
    <t>s16aq14a__0</t>
  </si>
  <si>
    <t>16A.14a.Quels sont les mbres (pers.1) du mén. qui ont droit d vendre la parc.?</t>
  </si>
  <si>
    <t>Which members (person 1) of the group have the right to sell the plot of land?</t>
  </si>
  <si>
    <t>can_sell = if_else(is.na(s16aq14a__0), 0, 1)</t>
  </si>
  <si>
    <t>changes all missings to 0s and all non-missings to 1s</t>
  </si>
  <si>
    <t>s16aq14b__0</t>
  </si>
  <si>
    <t>16A.14b.Quels sont les mbres (pers.1) du mén. droit de leguer parc. en herit?</t>
  </si>
  <si>
    <t>Which members (person 1) have the right to bequeath property as inheritance?</t>
  </si>
  <si>
    <t>can_beq = if_else(is.na(s16aq14b__0), 0, 1)</t>
  </si>
  <si>
    <t>s16aq10</t>
  </si>
  <si>
    <t>16A.10. Quel est le mode d'occupation de cette parcelle?</t>
  </si>
  <si>
    <t>What is the occupancy status of this plot of land?</t>
  </si>
  <si>
    <t>1 - Owner - 5499 - 72.8%
2 - Interest-free loan - 1324 - 17.5%
3 - Tenancy/Sharehold - 264 - 3.5%
4 - Sharecropping - 245 - 3.2%
5 - Mortgaged - 122 - 1.6%
6/7/8 - Other - 1%"</t>
  </si>
  <si>
    <t>rents_land = case_when(
           s16aq10 %in% c(2, 3,4) ~ 1,
           s16aq10 %in% c(1, 5,  6, 7,8) ~ 0,
           TRUE ~ NA_real_
         )</t>
  </si>
  <si>
    <t>s16aq09a</t>
  </si>
  <si>
    <t>16A.09a. Quelle est la superficie de la parcelle selon l'exploitant ?</t>
  </si>
  <si>
    <t>What is the size of the plot according to the farmer?</t>
  </si>
  <si>
    <t>plot_size_ha = case_when(
           s16aq09b == 1 ~ s16aq09a,          # already hectares
           s16aq09b == 2 ~ s16aq09a / 10000,  # m² to hectares
           TRUE ~ NA_real_
         )</t>
  </si>
  <si>
    <t>s16aq09b</t>
  </si>
  <si>
    <t>16A.09b. Unité</t>
  </si>
  <si>
    <t>Unit (s16aq09b)</t>
  </si>
  <si>
    <t>s16aq22</t>
  </si>
  <si>
    <t>16A.22. Avez-vous utilisé des déchets d'animaux sur cette parcelle ?</t>
  </si>
  <si>
    <t>Have you used animal waste on this plot of land?</t>
  </si>
  <si>
    <t>fert_dummy = case_when(
             s16aq22 == 1 | s16aq25 == 1 | s16aq27 == 1  ~ 1,
           TRUE ~ 0
         )
rename(seed_type = s16cq09)
mutate(input_dummy = case_when(fert_dummy == 1 | seed_type %in% c(2,3) ~ 1,
    TRUE ~ 0
  )</t>
  </si>
  <si>
    <t>s16aq25</t>
  </si>
  <si>
    <t>16A.25. Avez-vous utilisé des ordures ménagères et autres sur cette parcelle ?</t>
  </si>
  <si>
    <t>Have you used household waste and other refuse on this plot of land?</t>
  </si>
  <si>
    <t>s16aq27</t>
  </si>
  <si>
    <t>16A.27. Avez-vous utilisé de l’engrais inorganique/ chimique ?</t>
  </si>
  <si>
    <t>Did you use inorganic/chemical fertilizer?</t>
  </si>
  <si>
    <t>s16cq09</t>
  </si>
  <si>
    <t>16C.09. Type de semences principalement utilisé pour cette culture? </t>
  </si>
  <si>
    <t>16C.09. What type of seeds were mainly used for this crop?</t>
  </si>
  <si>
    <t>1 Local -  8,156 - 91.3%
2 Improved (New) - 581 - 6.5%
3 Improved (Recycled) - 197 - 2.2%</t>
  </si>
  <si>
    <t>cereals = as.integer(any(crop_group == "Cereals", na.rm = TRUE))</t>
  </si>
  <si>
    <t>s16aq33b</t>
  </si>
  <si>
    <t>16A.33b.Comb jrs [NOM] travaillé sur parcelle période de prépa du sol et semis?</t>
  </si>
  <si>
    <t>16A.33b. How many days did [NAME] work on the plot during the soil preparation and sowing period?</t>
  </si>
  <si>
    <t>labor_days = case_when(
           if_all(c(s16aq33b_1, s16aq35b_1, s16aq37b_1), is.na) ~ NA_real_,
           TRUE ~ rowSums(cbind(s16aq33b_1, s16aq35b_1, s16aq37b_1), na.rm = TRUE))</t>
  </si>
  <si>
    <t>s16aq35b</t>
  </si>
  <si>
    <t>16A.35b.Comb jrs [NOM] travaillé sur prcelle période sarclage et entretien sol</t>
  </si>
  <si>
    <t>16A.35b. How many days did [NAME] work on the plot during the weeding and soil maintenance period?</t>
  </si>
  <si>
    <t>s16aq37b</t>
  </si>
  <si>
    <t>16A.37b.Comb jrs [NOM] travaillé sur prcelle période récolte?</t>
  </si>
  <si>
    <t>16A.37b. How many days did [NAME] work on the plot during the harvest period?</t>
  </si>
  <si>
    <t>Crop Variables</t>
  </si>
  <si>
    <t>Crop Group</t>
  </si>
  <si>
    <t>crop_group</t>
  </si>
  <si>
    <t>s16cq04</t>
  </si>
  <si>
    <t>16C.04. Code de la culture </t>
  </si>
  <si>
    <t>16C.04. Crop Code</t>
  </si>
  <si>
    <t>crop_group = case_when(
      crop_code %in% c(1,2,3,4) ~ 1,           # Cereals
      crop_code %in% c(8,10,64) ~ 2,           # Pulses
      crop_code %in% c(11,24,29) ~ 3,          # Vegetables
      is.na(crop_code) ~ NA_real_,             # Preserve missing
      TRUE ~ 0                                 # Other
    ),
    crop_group = factor(
      crop_group,
      levels = c(0,1,2,3),
      labels = c("Other","Cereals","Pulses","Vegetables")
    )</t>
  </si>
  <si>
    <t>Quantity of this product has already been consumed in the household (kg)</t>
  </si>
  <si>
    <t>cons_kg</t>
  </si>
  <si>
    <t>to_kg &lt;- function(qty, unit){
  case_when(
    unit == 10 ~ qty,          # kg
    unit == 11 ~ qty * 1000,   # Tonne, 1000 kg
    unit == 16 ~ qty * 2.5,   # Tongolo, ~2.5 kg
    unit == 22 ~ qty * 25,     # Bassine Grande, ~25kg
    unit == 37 ~ qty * 25,     # bag 25kg
    unit == 38 ~ qty * 50,     # bag 50kg
    unit == 39 ~ qty * 100,    # bag 100kg
    TRUE ~ NA_real_
  )
}
mutate(
    cons_kg  = to_kg(cons_qty, cons_unit),
    gift_kg  = to_kg(gift_qty, gift_unit),
    sale_kg  = to_kg(sale_qty, sale_unit),
    stock_kg = to_kg(stock_qty, stock_unit)
  )</t>
  </si>
  <si>
    <t>Quantity of this product given (donation/gift) to other households (kg)</t>
  </si>
  <si>
    <t>gift_kg</t>
  </si>
  <si>
    <t>Quantity of this product that has already been sold (kg)</t>
  </si>
  <si>
    <t>sale_kg</t>
  </si>
  <si>
    <t>Quantity of this product in stock (in and outside the granary; kg)</t>
  </si>
  <si>
    <t>stock_kg</t>
  </si>
  <si>
    <t>Quantity of this product has already been consumed in the household (specify unit)</t>
  </si>
  <si>
    <t>cons_qty</t>
  </si>
  <si>
    <t>s16dq02a</t>
  </si>
  <si>
    <t>16D.02a. Quelle est la quantité de ce produit déjà consommée dans le ménage? </t>
  </si>
  <si>
    <t>16D.02a. What quantity of this product has already been consumed in the household?</t>
  </si>
  <si>
    <t>Quantity of this product given (donation/gift) to other households  (specify unit)</t>
  </si>
  <si>
    <t>gift_qty</t>
  </si>
  <si>
    <t>16D.03a. Quantité de ce produit offerte (don/cadeau) à d'autres MEN? </t>
  </si>
  <si>
    <t>16D.03a. Quantity of this product given (donation/gift) to other households?</t>
  </si>
  <si>
    <t>Quantity of this product that has already been sold (specify unit)</t>
  </si>
  <si>
    <t>sale_qty</t>
  </si>
  <si>
    <t>s16dq05a</t>
  </si>
  <si>
    <t>16D.05a. Quelle est la quantité de ce produit qui a déjà été vendue ?</t>
  </si>
  <si>
    <t>16D.05a. What quantity of this product has already been sold?</t>
  </si>
  <si>
    <t>Quantity of this product in stock (in and outside the granary)</t>
  </si>
  <si>
    <t>stock_qty</t>
  </si>
  <si>
    <t>s16dq13a</t>
  </si>
  <si>
    <t>16D.13a. Quantité de ce produit en stock (grenier et hors grenier)? </t>
  </si>
  <si>
    <t>16D.13a. Quantity of this product in stock (in and outside the granary)?</t>
  </si>
  <si>
    <t>Local Unit - Consumption Quantity</t>
  </si>
  <si>
    <t>cons_unit</t>
  </si>
  <si>
    <t>Local Unit - Gift Quantity</t>
  </si>
  <si>
    <t>gift_unit</t>
  </si>
  <si>
    <t>Local Unit - Sale Quantity</t>
  </si>
  <si>
    <t>sale_unit</t>
  </si>
  <si>
    <t>Local Unit - Stock Quantity</t>
  </si>
  <si>
    <t>stock_unit</t>
  </si>
  <si>
    <t>mutate(
    total_kg = case_when(
      if_all(c(cons_kg, gift_kg, sale_kg, stock_kg), is.na) ~ NA_real_,
      TRUE ~ rowSums(cbind(cons_kg, gift_kg, sale_kg, stock_kg), na.rm = TRUE)
    )</t>
  </si>
  <si>
    <t>Control Variables</t>
  </si>
  <si>
    <t>Fem. Head</t>
  </si>
  <si>
    <t>fem_head</t>
  </si>
  <si>
    <t>Dummy: HH Head is Female</t>
  </si>
  <si>
    <t xml:space="preserve">Marital Status of HH Head </t>
  </si>
  <si>
    <t>Years of Education</t>
  </si>
  <si>
    <t xml:space="preserve">Religion </t>
  </si>
  <si>
    <t>Religion of HH Head</t>
  </si>
  <si>
    <t>*Dummy variable</t>
  </si>
  <si>
    <t>Inputs*</t>
  </si>
  <si>
    <r>
      <t xml:space="preserve">** Note: When plot and farm dummy variables are aggregated, variable = 1 for aggregate variable if variable = 1 for </t>
    </r>
    <r>
      <rPr>
        <b/>
        <sz val="11"/>
        <color theme="1"/>
        <rFont val="Aptos Narrow"/>
        <scheme val="minor"/>
      </rPr>
      <t xml:space="preserve">any </t>
    </r>
    <r>
      <rPr>
        <sz val="11"/>
        <color theme="1"/>
        <rFont val="Aptos Narrow"/>
        <scheme val="minor"/>
      </rPr>
      <t>component (crop or plot, respectively) variable</t>
    </r>
  </si>
  <si>
    <t>2021 Code</t>
  </si>
  <si>
    <t>2018 Code</t>
  </si>
  <si>
    <t>19, 100</t>
  </si>
  <si>
    <t>5, 105</t>
  </si>
  <si>
    <t>36, 138</t>
  </si>
  <si>
    <t>34, 136</t>
  </si>
  <si>
    <t>33, 133, 135</t>
  </si>
  <si>
    <t>25, 128</t>
  </si>
  <si>
    <t>panier (basket)</t>
  </si>
  <si>
    <t>Welfare Variables</t>
  </si>
  <si>
    <t xml:space="preserve">HH Annual Food Consumption </t>
  </si>
  <si>
    <t>HH Annual Non-Food Consumption</t>
  </si>
  <si>
    <t>HH Annual Consumption - Total</t>
  </si>
  <si>
    <t>dali</t>
  </si>
  <si>
    <t>dnal</t>
  </si>
  <si>
    <t>dtot</t>
  </si>
  <si>
    <t>HH Consumption (Food)</t>
  </si>
  <si>
    <t>HH Consumption (Non-Food)</t>
  </si>
  <si>
    <t>Total HH Consumption</t>
  </si>
  <si>
    <t>Governance Variables</t>
  </si>
  <si>
    <t>s20b_1_me_ben2021</t>
  </si>
  <si>
    <t>s20bq04d</t>
  </si>
  <si>
    <t>Desire for a democratic political system for the country.</t>
  </si>
  <si>
    <t>s20bq06a</t>
  </si>
  <si>
    <t>20B.06a. En général femmes et hommes ont les mêmes chances en politique</t>
  </si>
  <si>
    <t>Generally, women and men have the same opportunities in politics.</t>
  </si>
  <si>
    <t>1 - Oui	- 5408	- 67.3%
2 - Non	- 2624	- 32.7%</t>
  </si>
  <si>
    <t>20B.06b. Selon vous, femmes et hom. devraient avoir même chances en politique ?</t>
  </si>
  <si>
    <t>20B.06b. In your opinion, should women and men have the same opportunities in politics?</t>
  </si>
  <si>
    <t>20B.07b. Conseillers/élus communaux font de leur mieux pour être à votre écoute?</t>
  </si>
  <si>
    <t>20B.07b. Do the municipal councillors/elected officials do their best to listen to you?</t>
  </si>
  <si>
    <t>s20bq07c</t>
  </si>
  <si>
    <t>20B.07c. Les Chefs traditionnels font de leur mieux pour être à votre écoute ?</t>
  </si>
  <si>
    <t>20B.07c. Are the traditional leaders doing their best to listen to you?</t>
  </si>
  <si>
    <t>1. Never 926 (11.5%)
2. Sometimes 4013 (50%)
3. Often 2497 (31.1%)
4. Always 596 (7.4%)</t>
  </si>
  <si>
    <t>s20bq08__3</t>
  </si>
  <si>
    <t>20B.08c. Conseil local/communal consulte les chefs traditionnels ?</t>
  </si>
  <si>
    <t>20B.08c. Does the local/municipal council consult the traditional leaders?</t>
  </si>
  <si>
    <t>1. Yes 2278 28.4%
2. No 5754 71.6%</t>
  </si>
  <si>
    <t>s20bq09</t>
  </si>
  <si>
    <t>20B.09. D'après vous, pensez-vous que les autorités locales ont du pouvoir?</t>
  </si>
  <si>
    <t>20B.09. In your opinion, do you think that local authorities have power?</t>
  </si>
  <si>
    <t>1. A lot 1622 (20.2%)
2. Rather 3745 (46.6%)
3. Not really 2397 (29.8%)
4. Not at all 268 (3.3%)</t>
  </si>
  <si>
    <t>20B.11. La corruption constitue-t-elle un problème pour le pays ?</t>
  </si>
  <si>
    <t>20B.11. Is corruption a problem for the country?</t>
  </si>
  <si>
    <t>20B.13h. Les autorités communales sont impliquées dans la corruption? </t>
  </si>
  <si>
    <t>20B.13h. Are the municipal authorities involved in corruption?</t>
  </si>
  <si>
    <t>20B.13i. Les autorités réligieuses sont impliquées dans la corruption?</t>
  </si>
  <si>
    <t>20B.13i. Are religious authorities involved in corruption?</t>
  </si>
  <si>
    <t>20B.13j. Les leaders/chefs traditionnels sont impliqués dans la corruption?</t>
  </si>
  <si>
    <t>20B.13j. Are traditional leaders/chiefs involved in corruption?</t>
  </si>
  <si>
    <t>s20bq03</t>
  </si>
  <si>
    <t>20B.03. Satisfaction de la manière dont fonctionne la démocratie dans le pays</t>
  </si>
  <si>
    <t>20B.03. Satisfaction with how democracy functions in the country</t>
  </si>
  <si>
    <t>s20bq06b</t>
  </si>
  <si>
    <t xml:space="preserve">1. Never 
2. Sometimes 
3. Often 
4. Always </t>
  </si>
  <si>
    <t>s20bq07b</t>
  </si>
  <si>
    <t>1 - Completely - 3724 - 46.4%
2 - Somewhat - 2934 - 36.5%
3 - Not really - 1209 - 15.1%
4 - Not at all	- 165 - 2.1%</t>
  </si>
  <si>
    <t>1 - Yes
2 - No</t>
  </si>
  <si>
    <t>20B.04d. Pensez-vous que les types de système politique suivants sont souhaitables pour gouverner le pays? Souhait d' un système politique démocratique pour le pays</t>
  </si>
  <si>
    <t>20B.04d. Do you think the following types of political system are desirable for governing the country? Desire for a democratic political system for the country</t>
  </si>
  <si>
    <t>1 Very good	
2 Quite good	
3 Not really good
4 Not good at all</t>
  </si>
  <si>
    <t>1 -  A lot	
2 - Somewhat	
3 - Not really 
4 - Not at all</t>
  </si>
  <si>
    <t>s20bq11</t>
  </si>
  <si>
    <t>s20bq13h</t>
  </si>
  <si>
    <t>s20bq13i</t>
  </si>
  <si>
    <t>s20bq13j</t>
  </si>
  <si>
    <t>corr_cntry</t>
  </si>
  <si>
    <t>Satisfaction with how democracy functions in the country (1 - Not good at all, 4 - Very good)</t>
  </si>
  <si>
    <t>Desirability of democratic political system for the country (1 - Not good at all, 4 - Very good)</t>
  </si>
  <si>
    <t>dem_sat</t>
  </si>
  <si>
    <t>dem_pref</t>
  </si>
  <si>
    <t>fem_eq1</t>
  </si>
  <si>
    <t>fem_eq2</t>
  </si>
  <si>
    <t>leader_elec</t>
  </si>
  <si>
    <t>leader_trad</t>
  </si>
  <si>
    <t>consult</t>
  </si>
  <si>
    <t>power_loc</t>
  </si>
  <si>
    <t>corr_loc</t>
  </si>
  <si>
    <t>corr_rel</t>
  </si>
  <si>
    <t>corr_trad</t>
  </si>
  <si>
    <t>Women and men have the same opportunities in politics (Yes/No)</t>
  </si>
  <si>
    <t>Should women and men have the same opportunities in politics? (Yes/No)</t>
  </si>
  <si>
    <t>Local elected officials do their best to listen to you (1 - Never, 4 - Always)</t>
  </si>
  <si>
    <t>Traditional leaders do their best to listen to you (1 - Never, 4 - Always)</t>
  </si>
  <si>
    <t>Local officials consult the traditional leaders? (Yes/No)</t>
  </si>
  <si>
    <t>Local authorities have power (1 - Alot, 4 - Not at all)</t>
  </si>
  <si>
    <t>Corruption is a problem for the country (1 - Alot, 4 - Not at all)</t>
  </si>
  <si>
    <t>Municipal authorities are involved in corruption (1 - Alot, 4 - Not at all)</t>
  </si>
  <si>
    <t>Religious authorities are involved in corruption (1 - Alot, 4 - Not at all)</t>
  </si>
  <si>
    <t>Traditional leaders/chiefs are involved in corruption (1 - Alot, 4 - Not at all)</t>
  </si>
  <si>
    <t>Table 1: Democracy</t>
  </si>
  <si>
    <t>Table 2: Gender Equality</t>
  </si>
  <si>
    <t>Table 3: Local Leaders</t>
  </si>
  <si>
    <t>Table 4: Corruption</t>
  </si>
  <si>
    <t>crop</t>
  </si>
  <si>
    <t>crop_type</t>
  </si>
  <si>
    <t>crop_code</t>
  </si>
  <si>
    <t>crop_fr</t>
  </si>
  <si>
    <t>Raw_Value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</si>
</sst>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"/>
    </font>
    <font>
      <sz val="12"/>
      <color rgb="FF000000"/>
      <name val="Aptos Narrow"/>
      <family val="2"/>
      <scheme val="minor"/>
    </font>
    <font>
      <sz val="12"/>
      <color theme="1"/>
      <name val="Aptos Narrow (Body)"/>
    </font>
    <font>
      <sz val="12"/>
      <color rgb="FFFF0000"/>
      <name val="Aptos Narrow (Body)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"/>
    </font>
    <font>
      <u/>
      <sz val="11"/>
      <color theme="10"/>
      <name val="Aptos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5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0" xfId="0" applyFont="1"/>
    <xf numFmtId="0" fontId="2" fillId="0" borderId="6" xfId="0" applyFont="1" applyBorder="1" applyAlignment="1">
      <alignment horizontal="left"/>
    </xf>
    <xf numFmtId="0" fontId="2" fillId="0" borderId="7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/>
    <xf numFmtId="0" fontId="7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/>
    <xf numFmtId="0" fontId="6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6" fillId="0" borderId="4" xfId="0" applyFont="1" applyBorder="1"/>
    <xf numFmtId="0" fontId="6" fillId="0" borderId="0" xfId="0" applyFont="1"/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11" fillId="0" borderId="0" xfId="1" applyFo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11" fillId="0" borderId="0" xfId="1" applyFont="1" applyFill="1" applyAlignment="1">
      <alignment vertical="center" wrapText="1"/>
    </xf>
    <xf numFmtId="0" fontId="4" fillId="0" borderId="0" xfId="1" applyFont="1" applyFill="1" applyAlignment="1">
      <alignment horizontal="left" vertical="center" wrapText="1"/>
    </xf>
    <xf numFmtId="0" fontId="13" fillId="0" borderId="0" xfId="1" applyFont="1" applyAlignment="1">
      <alignment vertical="center"/>
    </xf>
    <xf numFmtId="0" fontId="13" fillId="0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12" xfId="0" applyFont="1" applyBorder="1"/>
    <xf numFmtId="0" fontId="2" fillId="0" borderId="12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3" fillId="4" borderId="0" xfId="0" applyFont="1" applyFill="1"/>
    <xf numFmtId="0" fontId="2" fillId="0" borderId="0" xfId="0" applyFont="1" applyAlignment="1">
      <alignment horizontal="center" vertical="center"/>
    </xf>
    <xf numFmtId="0" fontId="5" fillId="0" borderId="12" xfId="0" applyFont="1" applyBorder="1"/>
    <xf numFmtId="0" fontId="2" fillId="0" borderId="12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6" fillId="0" borderId="0" xfId="1" applyFont="1" applyFill="1" applyAlignment="1">
      <alignment vertical="center"/>
    </xf>
    <xf numFmtId="0" fontId="11" fillId="0" borderId="0" xfId="1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1" applyFont="1" applyFill="1" applyAlignment="1">
      <alignment vertical="center"/>
    </xf>
    <xf numFmtId="0" fontId="4" fillId="0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data.worldbank.org/catalog/6272/variable/F32/V1290?name=s16dq03b" TargetMode="External"/><Relationship Id="rId2" Type="http://schemas.openxmlformats.org/officeDocument/2006/relationships/hyperlink" Target="https://microdata.worldbank.org/catalog/6272/variable/F32/V1294?name=s16dq05b" TargetMode="External"/><Relationship Id="rId1" Type="http://schemas.openxmlformats.org/officeDocument/2006/relationships/hyperlink" Target="https://microdata.worldbank.org/catalog/6272/variable/F32/V1287?name=s16dq02b" TargetMode="External"/><Relationship Id="rId4" Type="http://schemas.openxmlformats.org/officeDocument/2006/relationships/hyperlink" Target="https://microdata.worldbank.org/catalog/6272/variable/F32/V1307?name=s16dq13b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icrodata.worldbank.org/catalog/6272/variable/F32/V1293?name=s16dq05a" TargetMode="External"/><Relationship Id="rId18" Type="http://schemas.openxmlformats.org/officeDocument/2006/relationships/hyperlink" Target="https://microdata.worldbank.org/catalog/6272/variable/F31/V1269?name=s16cq09" TargetMode="External"/><Relationship Id="rId26" Type="http://schemas.openxmlformats.org/officeDocument/2006/relationships/hyperlink" Target="https://microdata.worldbank.org/catalog/6272/variable/F39/V1596?name=s20bq07c" TargetMode="External"/><Relationship Id="rId3" Type="http://schemas.openxmlformats.org/officeDocument/2006/relationships/hyperlink" Target="https://microdata.worldbank.org/catalog/6272/variable/F29/V1009?name=s16aq10" TargetMode="External"/><Relationship Id="rId21" Type="http://schemas.openxmlformats.org/officeDocument/2006/relationships/hyperlink" Target="https://microdata.worldbank.org/catalog/6272/variable/F29/V1151?name=s16aq37b_1" TargetMode="External"/><Relationship Id="rId34" Type="http://schemas.openxmlformats.org/officeDocument/2006/relationships/hyperlink" Target="https://microdata.worldbank.org/catalog/6272/variable/F39/V1587?name=s20bq03" TargetMode="External"/><Relationship Id="rId7" Type="http://schemas.openxmlformats.org/officeDocument/2006/relationships/hyperlink" Target="https://microdata.worldbank.org/catalog/6272/variable/F29/V1030?name=s16aq22" TargetMode="External"/><Relationship Id="rId12" Type="http://schemas.openxmlformats.org/officeDocument/2006/relationships/hyperlink" Target="https://microdata.worldbank.org/catalog/6272/variable/F32/V1287?name=s16dq02b" TargetMode="External"/><Relationship Id="rId17" Type="http://schemas.openxmlformats.org/officeDocument/2006/relationships/hyperlink" Target="https://microdata.worldbank.org/catalog/6272/variable/F32/V1306?name=s16dq13a" TargetMode="External"/><Relationship Id="rId25" Type="http://schemas.openxmlformats.org/officeDocument/2006/relationships/hyperlink" Target="https://microdata.worldbank.org/catalog/6272/variable/F39/V1595?name=s20bq07b" TargetMode="External"/><Relationship Id="rId33" Type="http://schemas.openxmlformats.org/officeDocument/2006/relationships/hyperlink" Target="https://microdata.worldbank.org/catalog/6272/variable/F39/V1624?name=s20bq13j" TargetMode="External"/><Relationship Id="rId2" Type="http://schemas.openxmlformats.org/officeDocument/2006/relationships/hyperlink" Target="https://microdata.worldbank.org/catalog/6272/variable/F29/V1018?name=s16aq14a__0" TargetMode="External"/><Relationship Id="rId16" Type="http://schemas.openxmlformats.org/officeDocument/2006/relationships/hyperlink" Target="https://microdata.worldbank.org/catalog/6272/variable/F32/V1290?name=s16dq03b" TargetMode="External"/><Relationship Id="rId20" Type="http://schemas.openxmlformats.org/officeDocument/2006/relationships/hyperlink" Target="https://microdata.worldbank.org/catalog/6272/variable/F29/V1106?name=s16aq35b_1" TargetMode="External"/><Relationship Id="rId29" Type="http://schemas.openxmlformats.org/officeDocument/2006/relationships/hyperlink" Target="https://microdata.worldbank.org/catalog/6272/variable/F39/V1601?name=s20bq09" TargetMode="External"/><Relationship Id="rId1" Type="http://schemas.openxmlformats.org/officeDocument/2006/relationships/hyperlink" Target="https://microdata.worldbank.org/catalog/6272/variable/F29/V1022?name=s16aq15" TargetMode="External"/><Relationship Id="rId6" Type="http://schemas.openxmlformats.org/officeDocument/2006/relationships/hyperlink" Target="https://microdata.worldbank.org/catalog/6272/variable/F29/V1008?name=s16aq09b" TargetMode="External"/><Relationship Id="rId11" Type="http://schemas.openxmlformats.org/officeDocument/2006/relationships/hyperlink" Target="https://microdata.worldbank.org/catalog/6272/variable/F32/V1286?name=s16dq02a" TargetMode="External"/><Relationship Id="rId24" Type="http://schemas.openxmlformats.org/officeDocument/2006/relationships/hyperlink" Target="https://microdata.worldbank.org/catalog/6272/variable/F39/V1593?name=s20bq06b" TargetMode="External"/><Relationship Id="rId32" Type="http://schemas.openxmlformats.org/officeDocument/2006/relationships/hyperlink" Target="https://microdata.worldbank.org/catalog/6272/variable/F39/V1623?name=s20bq13i" TargetMode="External"/><Relationship Id="rId5" Type="http://schemas.openxmlformats.org/officeDocument/2006/relationships/hyperlink" Target="https://microdata.worldbank.org/catalog/6272/variable/F29/V1007?name=s16aq09a" TargetMode="External"/><Relationship Id="rId15" Type="http://schemas.openxmlformats.org/officeDocument/2006/relationships/hyperlink" Target="https://microdata.worldbank.org/catalog/6272/variable/F32/V1289?name=s16dq03a" TargetMode="External"/><Relationship Id="rId23" Type="http://schemas.openxmlformats.org/officeDocument/2006/relationships/hyperlink" Target="https://microdata.worldbank.org/catalog/6272/variable/F39/V1592?name=s20bq06a" TargetMode="External"/><Relationship Id="rId28" Type="http://schemas.openxmlformats.org/officeDocument/2006/relationships/hyperlink" Target="https://microdata.worldbank.org/catalog/6272/variable/F39/V1599?name=s20bq08__3" TargetMode="External"/><Relationship Id="rId36" Type="http://schemas.openxmlformats.org/officeDocument/2006/relationships/hyperlink" Target="https://microdata.worldbank.org/catalog/6272/variable/F39/V1587?name=s20bq03" TargetMode="External"/><Relationship Id="rId10" Type="http://schemas.openxmlformats.org/officeDocument/2006/relationships/hyperlink" Target="https://microdata.worldbank.org/catalog/6272/variable/F31/V1264?name=s16cq04" TargetMode="External"/><Relationship Id="rId19" Type="http://schemas.openxmlformats.org/officeDocument/2006/relationships/hyperlink" Target="https://microdata.worldbank.org/catalog/6272/variable/F29/V1061?name=s16aq33b_1" TargetMode="External"/><Relationship Id="rId31" Type="http://schemas.openxmlformats.org/officeDocument/2006/relationships/hyperlink" Target="https://microdata.worldbank.org/catalog/6272/variable/F39/V1622?name=s20bq13h" TargetMode="External"/><Relationship Id="rId4" Type="http://schemas.openxmlformats.org/officeDocument/2006/relationships/hyperlink" Target="https://microdata.worldbank.org/catalog/6272/variable/F29/V1020?name=s16aq14b__0" TargetMode="External"/><Relationship Id="rId9" Type="http://schemas.openxmlformats.org/officeDocument/2006/relationships/hyperlink" Target="https://microdata.worldbank.org/catalog/6272/variable/F29/V1037?name=s16aq27" TargetMode="External"/><Relationship Id="rId14" Type="http://schemas.openxmlformats.org/officeDocument/2006/relationships/hyperlink" Target="https://microdata.worldbank.org/catalog/6272/variable/F32/V1294?name=s16dq05b" TargetMode="External"/><Relationship Id="rId22" Type="http://schemas.openxmlformats.org/officeDocument/2006/relationships/hyperlink" Target="https://microdata.worldbank.org/catalog/6272/variable/F39/V1591?name=s20bq04d" TargetMode="External"/><Relationship Id="rId27" Type="http://schemas.openxmlformats.org/officeDocument/2006/relationships/hyperlink" Target="https://microdata.worldbank.org/catalog/6272/variable/F39/V1596?name=s20bq07c" TargetMode="External"/><Relationship Id="rId30" Type="http://schemas.openxmlformats.org/officeDocument/2006/relationships/hyperlink" Target="https://microdata.worldbank.org/catalog/6272/variable/F39/V1603?name=s20bq11" TargetMode="External"/><Relationship Id="rId35" Type="http://schemas.openxmlformats.org/officeDocument/2006/relationships/hyperlink" Target="https://microdata.worldbank.org/catalog/6272/variable/F39/V1591?name=s20bq04d" TargetMode="External"/><Relationship Id="rId8" Type="http://schemas.openxmlformats.org/officeDocument/2006/relationships/hyperlink" Target="https://microdata.worldbank.org/catalog/6272/variable/F29/V1035?name=s16aq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090D-C23B-F846-AE93-EA3BD258A9FB}">
  <dimension ref="A1:C58"/>
  <sheetViews>
    <sheetView zoomScale="125" workbookViewId="0">
      <selection activeCell="C8" sqref="C8"/>
    </sheetView>
  </sheetViews>
  <sheetFormatPr baseColWidth="10" defaultRowHeight="15" x14ac:dyDescent="0.2"/>
  <cols>
    <col min="1" max="1" width="34.83203125" style="7" customWidth="1"/>
    <col min="2" max="2" width="22.6640625" style="7" customWidth="1"/>
    <col min="3" max="3" width="100" style="7" customWidth="1"/>
    <col min="4" max="16384" width="10.83203125" style="7"/>
  </cols>
  <sheetData>
    <row r="1" spans="1:3" s="5" customFormat="1" x14ac:dyDescent="0.2">
      <c r="A1" s="3" t="s">
        <v>50</v>
      </c>
      <c r="B1" s="3"/>
      <c r="C1" s="3"/>
    </row>
    <row r="2" spans="1:3" ht="16" x14ac:dyDescent="0.2">
      <c r="A2" s="6" t="s">
        <v>0</v>
      </c>
      <c r="B2" s="6" t="s">
        <v>21</v>
      </c>
      <c r="C2" s="6" t="s">
        <v>1</v>
      </c>
    </row>
    <row r="3" spans="1:3" ht="16" x14ac:dyDescent="0.2">
      <c r="A3" s="6" t="s">
        <v>2</v>
      </c>
      <c r="B3" s="6" t="s">
        <v>22</v>
      </c>
      <c r="C3" s="6" t="s">
        <v>3</v>
      </c>
    </row>
    <row r="4" spans="1:3" ht="16" x14ac:dyDescent="0.2">
      <c r="A4" s="6" t="s">
        <v>4</v>
      </c>
      <c r="B4" s="7" t="s">
        <v>30</v>
      </c>
      <c r="C4" s="6" t="s">
        <v>5</v>
      </c>
    </row>
    <row r="5" spans="1:3" ht="16" x14ac:dyDescent="0.2">
      <c r="A5" s="6" t="s">
        <v>6</v>
      </c>
      <c r="B5" s="6" t="s">
        <v>23</v>
      </c>
      <c r="C5" s="6" t="s">
        <v>7</v>
      </c>
    </row>
    <row r="6" spans="1:3" ht="16" x14ac:dyDescent="0.2">
      <c r="A6" s="6" t="s">
        <v>137</v>
      </c>
      <c r="B6" s="6" t="s">
        <v>24</v>
      </c>
      <c r="C6" s="6" t="s">
        <v>9</v>
      </c>
    </row>
    <row r="7" spans="1:3" ht="16" x14ac:dyDescent="0.2">
      <c r="A7" s="6" t="s">
        <v>328</v>
      </c>
      <c r="B7" s="8" t="s">
        <v>31</v>
      </c>
      <c r="C7" s="6" t="s">
        <v>32</v>
      </c>
    </row>
    <row r="8" spans="1:3" ht="16" x14ac:dyDescent="0.2">
      <c r="A8" s="6" t="s">
        <v>11</v>
      </c>
      <c r="B8" s="6" t="s">
        <v>25</v>
      </c>
      <c r="C8" s="6" t="s">
        <v>12</v>
      </c>
    </row>
    <row r="9" spans="1:3" ht="16" x14ac:dyDescent="0.2">
      <c r="A9" s="6" t="s">
        <v>13</v>
      </c>
      <c r="B9" s="6" t="s">
        <v>26</v>
      </c>
      <c r="C9" s="6" t="s">
        <v>14</v>
      </c>
    </row>
    <row r="10" spans="1:3" ht="16" x14ac:dyDescent="0.2">
      <c r="A10" s="6" t="s">
        <v>15</v>
      </c>
      <c r="B10" s="6" t="s">
        <v>27</v>
      </c>
      <c r="C10" s="6" t="s">
        <v>16</v>
      </c>
    </row>
    <row r="11" spans="1:3" ht="16" x14ac:dyDescent="0.2">
      <c r="A11" s="6" t="s">
        <v>17</v>
      </c>
      <c r="B11" s="6" t="s">
        <v>28</v>
      </c>
      <c r="C11" s="6" t="s">
        <v>18</v>
      </c>
    </row>
    <row r="12" spans="1:3" ht="16" x14ac:dyDescent="0.2">
      <c r="A12" s="6" t="s">
        <v>19</v>
      </c>
      <c r="B12" s="6" t="s">
        <v>29</v>
      </c>
      <c r="C12" s="6" t="s">
        <v>20</v>
      </c>
    </row>
    <row r="13" spans="1:3" x14ac:dyDescent="0.2">
      <c r="A13" s="7" t="s">
        <v>147</v>
      </c>
      <c r="B13" s="7" t="s">
        <v>145</v>
      </c>
      <c r="C13" s="7" t="s">
        <v>146</v>
      </c>
    </row>
    <row r="14" spans="1:3" x14ac:dyDescent="0.2">
      <c r="A14" s="7" t="s">
        <v>40</v>
      </c>
      <c r="B14" s="7" t="s">
        <v>41</v>
      </c>
      <c r="C14" s="7" t="s">
        <v>42</v>
      </c>
    </row>
    <row r="15" spans="1:3" x14ac:dyDescent="0.2">
      <c r="A15" s="7" t="s">
        <v>44</v>
      </c>
      <c r="B15" s="7" t="s">
        <v>37</v>
      </c>
      <c r="C15" s="7" t="s">
        <v>36</v>
      </c>
    </row>
    <row r="16" spans="1:3" x14ac:dyDescent="0.2">
      <c r="A16" s="7" t="s">
        <v>45</v>
      </c>
      <c r="B16" s="7" t="s">
        <v>38</v>
      </c>
      <c r="C16" s="7" t="s">
        <v>39</v>
      </c>
    </row>
    <row r="17" spans="1:3" x14ac:dyDescent="0.2">
      <c r="A17" s="7" t="s">
        <v>43</v>
      </c>
      <c r="B17" s="7" t="s">
        <v>47</v>
      </c>
      <c r="C17" s="7" t="s">
        <v>46</v>
      </c>
    </row>
    <row r="18" spans="1:3" x14ac:dyDescent="0.2">
      <c r="A18" s="7" t="s">
        <v>135</v>
      </c>
      <c r="B18" s="7" t="s">
        <v>48</v>
      </c>
      <c r="C18" s="7" t="s">
        <v>136</v>
      </c>
    </row>
    <row r="19" spans="1:3" x14ac:dyDescent="0.2">
      <c r="A19" s="7" t="s">
        <v>148</v>
      </c>
      <c r="B19" s="7" t="s">
        <v>152</v>
      </c>
      <c r="C19" s="7" t="s">
        <v>156</v>
      </c>
    </row>
    <row r="20" spans="1:3" x14ac:dyDescent="0.2">
      <c r="A20" s="7" t="s">
        <v>149</v>
      </c>
      <c r="B20" s="7" t="s">
        <v>154</v>
      </c>
      <c r="C20" s="7" t="s">
        <v>157</v>
      </c>
    </row>
    <row r="21" spans="1:3" x14ac:dyDescent="0.2">
      <c r="A21" s="7" t="s">
        <v>138</v>
      </c>
      <c r="B21" s="7" t="s">
        <v>49</v>
      </c>
      <c r="C21" s="7" t="s">
        <v>139</v>
      </c>
    </row>
    <row r="22" spans="1:3" ht="16" x14ac:dyDescent="0.2">
      <c r="A22" s="6" t="s">
        <v>142</v>
      </c>
      <c r="B22" s="7" t="s">
        <v>143</v>
      </c>
      <c r="C22" s="7" t="s">
        <v>141</v>
      </c>
    </row>
    <row r="23" spans="1:3" ht="16" x14ac:dyDescent="0.2">
      <c r="A23" s="6" t="s">
        <v>140</v>
      </c>
      <c r="B23" s="7" t="s">
        <v>51</v>
      </c>
      <c r="C23" s="7" t="s">
        <v>144</v>
      </c>
    </row>
    <row r="24" spans="1:3" x14ac:dyDescent="0.2">
      <c r="A24" s="7" t="s">
        <v>150</v>
      </c>
      <c r="B24" s="7" t="s">
        <v>153</v>
      </c>
      <c r="C24" s="7" t="s">
        <v>158</v>
      </c>
    </row>
    <row r="25" spans="1:3" ht="16" thickBot="1" x14ac:dyDescent="0.25">
      <c r="A25" s="52" t="s">
        <v>151</v>
      </c>
      <c r="B25" s="52" t="s">
        <v>155</v>
      </c>
      <c r="C25" s="52" t="s">
        <v>159</v>
      </c>
    </row>
    <row r="26" spans="1:3" ht="16" thickTop="1" x14ac:dyDescent="0.2">
      <c r="A26" s="7" t="s">
        <v>327</v>
      </c>
    </row>
    <row r="27" spans="1:3" x14ac:dyDescent="0.2">
      <c r="A27" s="7" t="s">
        <v>329</v>
      </c>
    </row>
    <row r="29" spans="1:3" s="50" customFormat="1" x14ac:dyDescent="0.2">
      <c r="A29" s="50" t="s">
        <v>319</v>
      </c>
    </row>
    <row r="30" spans="1:3" x14ac:dyDescent="0.2">
      <c r="A30" s="12" t="s">
        <v>169</v>
      </c>
      <c r="B30" s="2" t="s">
        <v>170</v>
      </c>
      <c r="C30" s="12" t="s">
        <v>169</v>
      </c>
    </row>
    <row r="31" spans="1:3" x14ac:dyDescent="0.2">
      <c r="A31" s="12" t="s">
        <v>178</v>
      </c>
      <c r="B31" s="2" t="s">
        <v>195</v>
      </c>
      <c r="C31" s="12" t="s">
        <v>194</v>
      </c>
    </row>
    <row r="32" spans="1:3" x14ac:dyDescent="0.2">
      <c r="A32" s="2" t="s">
        <v>324</v>
      </c>
      <c r="B32" s="2" t="s">
        <v>221</v>
      </c>
      <c r="C32" s="2" t="s">
        <v>220</v>
      </c>
    </row>
    <row r="33" spans="1:3" x14ac:dyDescent="0.2">
      <c r="A33" s="2" t="s">
        <v>186</v>
      </c>
      <c r="B33" s="2" t="s">
        <v>188</v>
      </c>
      <c r="C33" s="2" t="s">
        <v>187</v>
      </c>
    </row>
    <row r="34" spans="1:3" x14ac:dyDescent="0.2">
      <c r="A34" s="2" t="s">
        <v>190</v>
      </c>
      <c r="B34" s="2" t="s">
        <v>192</v>
      </c>
      <c r="C34" s="2" t="s">
        <v>191</v>
      </c>
    </row>
    <row r="35" spans="1:3" x14ac:dyDescent="0.2">
      <c r="A35" s="12" t="s">
        <v>209</v>
      </c>
      <c r="B35" s="2" t="s">
        <v>211</v>
      </c>
      <c r="C35" s="12" t="s">
        <v>210</v>
      </c>
    </row>
    <row r="36" spans="1:3" x14ac:dyDescent="0.2">
      <c r="A36" s="2" t="s">
        <v>325</v>
      </c>
      <c r="B36" s="2" t="s">
        <v>214</v>
      </c>
      <c r="C36" s="2" t="s">
        <v>326</v>
      </c>
    </row>
    <row r="37" spans="1:3" x14ac:dyDescent="0.2">
      <c r="A37" s="2" t="s">
        <v>172</v>
      </c>
      <c r="B37" s="2" t="s">
        <v>217</v>
      </c>
      <c r="C37" s="2" t="s">
        <v>323</v>
      </c>
    </row>
    <row r="38" spans="1:3" s="52" customFormat="1" ht="16" thickBot="1" x14ac:dyDescent="0.25">
      <c r="A38" s="47" t="s">
        <v>320</v>
      </c>
      <c r="B38" s="48" t="s">
        <v>321</v>
      </c>
      <c r="C38" s="47" t="s">
        <v>322</v>
      </c>
    </row>
    <row r="39" spans="1:3" ht="16" thickTop="1" x14ac:dyDescent="0.2">
      <c r="A39" s="7" t="s">
        <v>327</v>
      </c>
    </row>
    <row r="41" spans="1:3" s="50" customFormat="1" x14ac:dyDescent="0.2">
      <c r="A41" s="50" t="s">
        <v>339</v>
      </c>
    </row>
    <row r="42" spans="1:3" x14ac:dyDescent="0.2">
      <c r="A42" s="7" t="s">
        <v>346</v>
      </c>
      <c r="B42" s="7" t="s">
        <v>343</v>
      </c>
      <c r="C42" s="7" t="s">
        <v>340</v>
      </c>
    </row>
    <row r="43" spans="1:3" x14ac:dyDescent="0.2">
      <c r="A43" s="7" t="s">
        <v>347</v>
      </c>
      <c r="B43" s="7" t="s">
        <v>344</v>
      </c>
      <c r="C43" s="7" t="s">
        <v>341</v>
      </c>
    </row>
    <row r="44" spans="1:3" x14ac:dyDescent="0.2">
      <c r="A44" s="7" t="s">
        <v>348</v>
      </c>
      <c r="B44" s="7" t="s">
        <v>345</v>
      </c>
      <c r="C44" s="7" t="s">
        <v>342</v>
      </c>
    </row>
    <row r="46" spans="1:3" s="50" customFormat="1" x14ac:dyDescent="0.2">
      <c r="A46" s="50" t="s">
        <v>349</v>
      </c>
    </row>
    <row r="47" spans="1:3" x14ac:dyDescent="0.2">
      <c r="A47" s="67" t="s">
        <v>421</v>
      </c>
      <c r="B47" s="55" t="s">
        <v>400</v>
      </c>
      <c r="C47" s="7" t="s">
        <v>398</v>
      </c>
    </row>
    <row r="48" spans="1:3" x14ac:dyDescent="0.2">
      <c r="A48" s="67"/>
      <c r="B48" s="55" t="s">
        <v>401</v>
      </c>
      <c r="C48" s="7" t="s">
        <v>399</v>
      </c>
    </row>
    <row r="49" spans="1:3" x14ac:dyDescent="0.2">
      <c r="A49" s="67" t="s">
        <v>422</v>
      </c>
      <c r="B49" s="55" t="s">
        <v>402</v>
      </c>
      <c r="C49" s="7" t="s">
        <v>411</v>
      </c>
    </row>
    <row r="50" spans="1:3" x14ac:dyDescent="0.2">
      <c r="A50" s="67"/>
      <c r="B50" s="55" t="s">
        <v>403</v>
      </c>
      <c r="C50" s="7" t="s">
        <v>412</v>
      </c>
    </row>
    <row r="51" spans="1:3" x14ac:dyDescent="0.2">
      <c r="A51" s="67" t="s">
        <v>423</v>
      </c>
      <c r="B51" s="55" t="s">
        <v>407</v>
      </c>
      <c r="C51" s="7" t="s">
        <v>416</v>
      </c>
    </row>
    <row r="52" spans="1:3" x14ac:dyDescent="0.2">
      <c r="A52" s="67"/>
      <c r="B52" s="55" t="s">
        <v>405</v>
      </c>
      <c r="C52" s="7" t="s">
        <v>414</v>
      </c>
    </row>
    <row r="53" spans="1:3" x14ac:dyDescent="0.2">
      <c r="A53" s="67"/>
      <c r="B53" s="55" t="s">
        <v>404</v>
      </c>
      <c r="C53" s="7" t="s">
        <v>413</v>
      </c>
    </row>
    <row r="54" spans="1:3" x14ac:dyDescent="0.2">
      <c r="A54" s="67"/>
      <c r="B54" s="55" t="s">
        <v>406</v>
      </c>
      <c r="C54" s="7" t="s">
        <v>415</v>
      </c>
    </row>
    <row r="55" spans="1:3" x14ac:dyDescent="0.2">
      <c r="A55" s="67" t="s">
        <v>424</v>
      </c>
      <c r="B55" s="55" t="s">
        <v>397</v>
      </c>
      <c r="C55" s="7" t="s">
        <v>417</v>
      </c>
    </row>
    <row r="56" spans="1:3" x14ac:dyDescent="0.2">
      <c r="A56" s="67"/>
      <c r="B56" s="55" t="s">
        <v>408</v>
      </c>
      <c r="C56" s="7" t="s">
        <v>418</v>
      </c>
    </row>
    <row r="57" spans="1:3" x14ac:dyDescent="0.2">
      <c r="A57" s="67"/>
      <c r="B57" s="55" t="s">
        <v>409</v>
      </c>
      <c r="C57" s="7" t="s">
        <v>419</v>
      </c>
    </row>
    <row r="58" spans="1:3" x14ac:dyDescent="0.2">
      <c r="A58" s="67"/>
      <c r="B58" s="55" t="s">
        <v>410</v>
      </c>
      <c r="C58" s="7" t="s">
        <v>420</v>
      </c>
    </row>
  </sheetData>
  <mergeCells count="4">
    <mergeCell ref="A47:A48"/>
    <mergeCell ref="A49:A50"/>
    <mergeCell ref="A51:A54"/>
    <mergeCell ref="A55:A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7C76-0396-104C-B933-992CC09EAE0E}">
  <dimension ref="A1:H21"/>
  <sheetViews>
    <sheetView workbookViewId="0">
      <selection activeCell="C24" sqref="C24"/>
    </sheetView>
  </sheetViews>
  <sheetFormatPr baseColWidth="10" defaultRowHeight="16" x14ac:dyDescent="0.2"/>
  <cols>
    <col min="2" max="2" width="22.33203125" customWidth="1"/>
    <col min="3" max="3" width="39.1640625" customWidth="1"/>
    <col min="8" max="8" width="87.5" customWidth="1"/>
  </cols>
  <sheetData>
    <row r="1" spans="1:8" x14ac:dyDescent="0.2">
      <c r="A1" s="9" t="s">
        <v>427</v>
      </c>
      <c r="B1" s="10" t="s">
        <v>425</v>
      </c>
      <c r="C1" s="24" t="s">
        <v>426</v>
      </c>
      <c r="D1" s="26" t="s">
        <v>428</v>
      </c>
      <c r="E1" s="27" t="s">
        <v>75</v>
      </c>
      <c r="F1" s="27" t="s">
        <v>429</v>
      </c>
      <c r="G1" s="27" t="s">
        <v>76</v>
      </c>
      <c r="H1" s="28" t="s">
        <v>77</v>
      </c>
    </row>
    <row r="2" spans="1:8" x14ac:dyDescent="0.2">
      <c r="A2" s="11">
        <v>1</v>
      </c>
      <c r="B2" s="12" t="s">
        <v>52</v>
      </c>
      <c r="C2" s="2" t="s">
        <v>53</v>
      </c>
      <c r="D2" t="s">
        <v>78</v>
      </c>
      <c r="E2" s="16">
        <v>2022</v>
      </c>
      <c r="F2" s="16">
        <v>622.5</v>
      </c>
      <c r="G2" s="17">
        <f>F2*1.03^(2022-E2)</f>
        <v>622.5</v>
      </c>
      <c r="H2" s="18" t="s">
        <v>79</v>
      </c>
    </row>
    <row r="3" spans="1:8" x14ac:dyDescent="0.2">
      <c r="A3" s="11">
        <v>2</v>
      </c>
      <c r="B3" s="12" t="s">
        <v>54</v>
      </c>
      <c r="C3" s="2" t="s">
        <v>53</v>
      </c>
      <c r="D3" t="s">
        <v>80</v>
      </c>
      <c r="E3" s="16">
        <v>2022</v>
      </c>
      <c r="F3" s="16">
        <v>444</v>
      </c>
      <c r="G3" s="17">
        <f t="shared" ref="G3:G18" si="0">F3*1.03^(2022-E3)</f>
        <v>444</v>
      </c>
      <c r="H3" s="18" t="s">
        <v>81</v>
      </c>
    </row>
    <row r="4" spans="1:8" x14ac:dyDescent="0.2">
      <c r="A4" s="11">
        <v>3</v>
      </c>
      <c r="B4" s="12" t="s">
        <v>55</v>
      </c>
      <c r="C4" s="2" t="s">
        <v>53</v>
      </c>
      <c r="D4" t="s">
        <v>82</v>
      </c>
      <c r="E4" s="16">
        <v>2022</v>
      </c>
      <c r="F4" s="16">
        <v>651.1</v>
      </c>
      <c r="G4" s="17">
        <f t="shared" si="0"/>
        <v>651.1</v>
      </c>
      <c r="H4" s="18" t="s">
        <v>83</v>
      </c>
    </row>
    <row r="5" spans="1:8" x14ac:dyDescent="0.2">
      <c r="A5" s="11">
        <v>4</v>
      </c>
      <c r="B5" s="12" t="s">
        <v>56</v>
      </c>
      <c r="C5" s="2" t="s">
        <v>53</v>
      </c>
      <c r="D5" t="s">
        <v>84</v>
      </c>
      <c r="E5" s="16">
        <v>2022</v>
      </c>
      <c r="F5" s="16">
        <v>322.7</v>
      </c>
      <c r="G5" s="17">
        <f t="shared" si="0"/>
        <v>322.7</v>
      </c>
      <c r="H5" s="18" t="s">
        <v>85</v>
      </c>
    </row>
    <row r="6" spans="1:8" x14ac:dyDescent="0.2">
      <c r="A6" s="11">
        <v>8</v>
      </c>
      <c r="B6" s="12" t="s">
        <v>57</v>
      </c>
      <c r="C6" s="2" t="s">
        <v>58</v>
      </c>
      <c r="D6" t="s">
        <v>86</v>
      </c>
      <c r="E6" s="16">
        <v>2022</v>
      </c>
      <c r="F6" s="16">
        <v>940.4</v>
      </c>
      <c r="G6" s="17">
        <f t="shared" si="0"/>
        <v>940.4</v>
      </c>
      <c r="H6" s="18" t="s">
        <v>87</v>
      </c>
    </row>
    <row r="7" spans="1:8" x14ac:dyDescent="0.2">
      <c r="A7" s="11">
        <v>10</v>
      </c>
      <c r="B7" s="12" t="s">
        <v>59</v>
      </c>
      <c r="C7" s="2" t="s">
        <v>58</v>
      </c>
      <c r="D7" t="s">
        <v>88</v>
      </c>
      <c r="E7" s="16">
        <v>2022</v>
      </c>
      <c r="F7" s="19">
        <v>521</v>
      </c>
      <c r="G7" s="17">
        <f t="shared" si="0"/>
        <v>521</v>
      </c>
      <c r="H7" s="18" t="s">
        <v>89</v>
      </c>
    </row>
    <row r="8" spans="1:8" x14ac:dyDescent="0.2">
      <c r="A8" s="11">
        <v>11</v>
      </c>
      <c r="B8" s="12" t="s">
        <v>60</v>
      </c>
      <c r="C8" s="2" t="s">
        <v>61</v>
      </c>
      <c r="D8" t="s">
        <v>90</v>
      </c>
      <c r="E8" s="16">
        <v>2022</v>
      </c>
      <c r="F8" s="16">
        <v>548.6</v>
      </c>
      <c r="G8" s="17">
        <f t="shared" si="0"/>
        <v>548.6</v>
      </c>
      <c r="H8" s="18" t="s">
        <v>91</v>
      </c>
    </row>
    <row r="9" spans="1:8" x14ac:dyDescent="0.2">
      <c r="A9" s="11">
        <v>13</v>
      </c>
      <c r="B9" s="12" t="s">
        <v>62</v>
      </c>
      <c r="C9" s="2" t="s">
        <v>63</v>
      </c>
      <c r="D9" t="s">
        <v>92</v>
      </c>
      <c r="E9" s="16">
        <v>2019</v>
      </c>
      <c r="F9" s="16">
        <v>1007</v>
      </c>
      <c r="G9" s="17">
        <f t="shared" si="0"/>
        <v>1100.3760890000001</v>
      </c>
      <c r="H9" s="18" t="s">
        <v>93</v>
      </c>
    </row>
    <row r="10" spans="1:8" x14ac:dyDescent="0.2">
      <c r="A10" s="11">
        <v>14</v>
      </c>
      <c r="B10" s="12" t="s">
        <v>64</v>
      </c>
      <c r="C10" s="2" t="s">
        <v>74</v>
      </c>
      <c r="D10" t="s">
        <v>64</v>
      </c>
      <c r="E10" s="16">
        <v>2022</v>
      </c>
      <c r="F10" s="16">
        <v>304.5</v>
      </c>
      <c r="G10" s="17">
        <f t="shared" si="0"/>
        <v>304.5</v>
      </c>
      <c r="H10" s="18" t="s">
        <v>94</v>
      </c>
    </row>
    <row r="11" spans="1:8" x14ac:dyDescent="0.2">
      <c r="A11" s="11">
        <v>24</v>
      </c>
      <c r="B11" s="12" t="s">
        <v>65</v>
      </c>
      <c r="C11" s="2" t="s">
        <v>61</v>
      </c>
      <c r="D11" t="s">
        <v>95</v>
      </c>
      <c r="E11" s="16">
        <v>2022</v>
      </c>
      <c r="F11" s="16">
        <v>407.5</v>
      </c>
      <c r="G11" s="17">
        <f t="shared" si="0"/>
        <v>407.5</v>
      </c>
      <c r="H11" s="18" t="s">
        <v>96</v>
      </c>
    </row>
    <row r="12" spans="1:8" x14ac:dyDescent="0.2">
      <c r="A12" s="11">
        <v>29</v>
      </c>
      <c r="B12" s="12" t="s">
        <v>66</v>
      </c>
      <c r="C12" s="2" t="s">
        <v>61</v>
      </c>
      <c r="D12" t="s">
        <v>97</v>
      </c>
      <c r="E12" s="16">
        <v>2022</v>
      </c>
      <c r="F12" s="16">
        <v>688.9</v>
      </c>
      <c r="G12" s="17">
        <f t="shared" si="0"/>
        <v>688.9</v>
      </c>
      <c r="H12" s="18" t="s">
        <v>98</v>
      </c>
    </row>
    <row r="13" spans="1:8" x14ac:dyDescent="0.2">
      <c r="A13" s="11">
        <v>43</v>
      </c>
      <c r="B13" s="12" t="s">
        <v>67</v>
      </c>
      <c r="C13" s="2" t="s">
        <v>63</v>
      </c>
      <c r="D13" t="s">
        <v>99</v>
      </c>
      <c r="E13" s="16">
        <v>2009</v>
      </c>
      <c r="F13" s="16">
        <v>444</v>
      </c>
      <c r="G13" s="17">
        <f t="shared" si="0"/>
        <v>652.02896877249441</v>
      </c>
      <c r="H13" s="18" t="s">
        <v>100</v>
      </c>
    </row>
    <row r="14" spans="1:8" x14ac:dyDescent="0.2">
      <c r="A14" s="11">
        <v>47</v>
      </c>
      <c r="B14" s="12" t="s">
        <v>68</v>
      </c>
      <c r="C14" s="2" t="s">
        <v>74</v>
      </c>
      <c r="D14" t="s">
        <v>101</v>
      </c>
      <c r="E14" s="16">
        <v>2022</v>
      </c>
      <c r="F14" s="16">
        <v>563.70000000000005</v>
      </c>
      <c r="G14" s="17">
        <f t="shared" si="0"/>
        <v>563.70000000000005</v>
      </c>
      <c r="H14" s="18" t="s">
        <v>102</v>
      </c>
    </row>
    <row r="15" spans="1:8" x14ac:dyDescent="0.2">
      <c r="A15" s="11">
        <v>51</v>
      </c>
      <c r="B15" s="12" t="s">
        <v>69</v>
      </c>
      <c r="C15" s="2" t="s">
        <v>70</v>
      </c>
      <c r="D15" t="s">
        <v>103</v>
      </c>
      <c r="E15" s="16">
        <v>2019</v>
      </c>
      <c r="F15" s="16">
        <v>1134.0999999999999</v>
      </c>
      <c r="G15" s="17">
        <f t="shared" si="0"/>
        <v>1239.2616906999999</v>
      </c>
      <c r="H15" s="18" t="s">
        <v>104</v>
      </c>
    </row>
    <row r="16" spans="1:8" x14ac:dyDescent="0.2">
      <c r="A16" s="11">
        <v>55</v>
      </c>
      <c r="B16" s="12" t="s">
        <v>71</v>
      </c>
      <c r="C16" s="2" t="s">
        <v>70</v>
      </c>
      <c r="D16" t="s">
        <v>105</v>
      </c>
      <c r="E16" s="16">
        <v>2019</v>
      </c>
      <c r="F16" s="16">
        <v>778.3</v>
      </c>
      <c r="G16" s="17">
        <f t="shared" si="0"/>
        <v>850.46942409999997</v>
      </c>
      <c r="H16" s="18" t="s">
        <v>106</v>
      </c>
    </row>
    <row r="17" spans="1:8" x14ac:dyDescent="0.2">
      <c r="A17" s="11">
        <v>56</v>
      </c>
      <c r="B17" s="12" t="s">
        <v>72</v>
      </c>
      <c r="C17" s="2" t="s">
        <v>63</v>
      </c>
      <c r="D17" t="s">
        <v>107</v>
      </c>
      <c r="E17" s="16">
        <v>2019</v>
      </c>
      <c r="F17" s="16">
        <v>216.8</v>
      </c>
      <c r="G17" s="17">
        <f>F17*1.03^(2022-E17)</f>
        <v>236.90321360000002</v>
      </c>
      <c r="H17" s="18" t="s">
        <v>108</v>
      </c>
    </row>
    <row r="18" spans="1:8" ht="17" thickBot="1" x14ac:dyDescent="0.25">
      <c r="A18" s="13">
        <v>64</v>
      </c>
      <c r="B18" s="14" t="s">
        <v>73</v>
      </c>
      <c r="C18" s="25" t="s">
        <v>58</v>
      </c>
      <c r="D18" s="20" t="s">
        <v>109</v>
      </c>
      <c r="E18" s="21">
        <v>2022</v>
      </c>
      <c r="F18" s="21">
        <v>940.4</v>
      </c>
      <c r="G18" s="22">
        <f t="shared" si="0"/>
        <v>940.4</v>
      </c>
      <c r="H18" s="23" t="s">
        <v>87</v>
      </c>
    </row>
    <row r="20" spans="1:8" x14ac:dyDescent="0.2">
      <c r="H20" t="s">
        <v>111</v>
      </c>
    </row>
    <row r="21" spans="1:8" ht="17" x14ac:dyDescent="0.2">
      <c r="H21" s="1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1E70-9880-C044-B761-0795468BA9C3}">
  <dimension ref="A1:D16"/>
  <sheetViews>
    <sheetView workbookViewId="0">
      <selection activeCell="C21" sqref="C21"/>
    </sheetView>
  </sheetViews>
  <sheetFormatPr baseColWidth="10" defaultRowHeight="16" x14ac:dyDescent="0.2"/>
  <cols>
    <col min="1" max="2" width="17.6640625" customWidth="1"/>
    <col min="3" max="3" width="31" customWidth="1"/>
    <col min="4" max="4" width="33" customWidth="1"/>
  </cols>
  <sheetData>
    <row r="1" spans="1:4" x14ac:dyDescent="0.2">
      <c r="A1" s="68" t="s">
        <v>112</v>
      </c>
      <c r="B1" s="69"/>
      <c r="C1" s="69"/>
      <c r="D1" s="70"/>
    </row>
    <row r="2" spans="1:4" x14ac:dyDescent="0.2">
      <c r="A2" s="29" t="s">
        <v>331</v>
      </c>
      <c r="B2" s="30" t="s">
        <v>330</v>
      </c>
      <c r="C2" s="30" t="s">
        <v>113</v>
      </c>
      <c r="D2" s="31" t="s">
        <v>114</v>
      </c>
    </row>
    <row r="3" spans="1:4" x14ac:dyDescent="0.2">
      <c r="A3" s="11" t="s">
        <v>332</v>
      </c>
      <c r="B3" s="11">
        <v>10</v>
      </c>
      <c r="C3" s="32" t="s">
        <v>115</v>
      </c>
      <c r="D3" s="33">
        <v>1</v>
      </c>
    </row>
    <row r="4" spans="1:4" x14ac:dyDescent="0.2">
      <c r="A4" s="11" t="s">
        <v>337</v>
      </c>
      <c r="B4" s="11"/>
      <c r="C4" s="32" t="s">
        <v>338</v>
      </c>
      <c r="D4" s="33">
        <v>1</v>
      </c>
    </row>
    <row r="5" spans="1:4" x14ac:dyDescent="0.2">
      <c r="A5" s="11"/>
      <c r="B5" s="11">
        <v>11</v>
      </c>
      <c r="C5" s="32" t="s">
        <v>116</v>
      </c>
      <c r="D5" s="33">
        <v>1000</v>
      </c>
    </row>
    <row r="6" spans="1:4" x14ac:dyDescent="0.2">
      <c r="A6" s="11"/>
      <c r="B6" s="11">
        <v>16</v>
      </c>
      <c r="C6" s="32" t="s">
        <v>117</v>
      </c>
      <c r="D6" s="33">
        <v>2.5</v>
      </c>
    </row>
    <row r="7" spans="1:4" x14ac:dyDescent="0.2">
      <c r="A7" s="11" t="s">
        <v>333</v>
      </c>
      <c r="B7" s="11">
        <v>22</v>
      </c>
      <c r="C7" s="32" t="s">
        <v>118</v>
      </c>
      <c r="D7" s="33">
        <v>25</v>
      </c>
    </row>
    <row r="8" spans="1:4" x14ac:dyDescent="0.2">
      <c r="A8" s="11" t="s">
        <v>335</v>
      </c>
      <c r="B8" s="11">
        <v>37</v>
      </c>
      <c r="C8" s="32" t="s">
        <v>119</v>
      </c>
      <c r="D8" s="33">
        <v>25</v>
      </c>
    </row>
    <row r="9" spans="1:4" x14ac:dyDescent="0.2">
      <c r="A9" s="11" t="s">
        <v>334</v>
      </c>
      <c r="B9" s="11">
        <v>38</v>
      </c>
      <c r="C9" s="32" t="s">
        <v>120</v>
      </c>
      <c r="D9" s="33">
        <v>50</v>
      </c>
    </row>
    <row r="10" spans="1:4" ht="17" thickBot="1" x14ac:dyDescent="0.25">
      <c r="A10" s="13" t="s">
        <v>336</v>
      </c>
      <c r="B10" s="13">
        <v>39</v>
      </c>
      <c r="C10" s="34" t="s">
        <v>121</v>
      </c>
      <c r="D10" s="35">
        <v>100</v>
      </c>
    </row>
    <row r="12" spans="1:4" x14ac:dyDescent="0.2">
      <c r="A12" s="38" t="s">
        <v>122</v>
      </c>
      <c r="B12" s="38"/>
      <c r="C12" s="4"/>
      <c r="D12" s="4"/>
    </row>
    <row r="13" spans="1:4" x14ac:dyDescent="0.2">
      <c r="A13" s="12" t="s">
        <v>123</v>
      </c>
      <c r="B13" s="12"/>
      <c r="C13" s="36" t="s">
        <v>127</v>
      </c>
      <c r="D13" s="37" t="s">
        <v>128</v>
      </c>
    </row>
    <row r="14" spans="1:4" x14ac:dyDescent="0.2">
      <c r="A14" s="12" t="s">
        <v>124</v>
      </c>
      <c r="B14" s="12"/>
      <c r="C14" s="36" t="s">
        <v>129</v>
      </c>
      <c r="D14" s="37" t="s">
        <v>130</v>
      </c>
    </row>
    <row r="15" spans="1:4" x14ac:dyDescent="0.2">
      <c r="A15" s="12" t="s">
        <v>125</v>
      </c>
      <c r="B15" s="12"/>
      <c r="C15" s="36" t="s">
        <v>131</v>
      </c>
      <c r="D15" s="37" t="s">
        <v>132</v>
      </c>
    </row>
    <row r="16" spans="1:4" x14ac:dyDescent="0.2">
      <c r="A16" s="12" t="s">
        <v>126</v>
      </c>
      <c r="B16" s="12"/>
      <c r="C16" s="39" t="s">
        <v>134</v>
      </c>
      <c r="D16" s="4" t="s">
        <v>133</v>
      </c>
    </row>
  </sheetData>
  <mergeCells count="1">
    <mergeCell ref="A1:D1"/>
  </mergeCells>
  <hyperlinks>
    <hyperlink ref="C13" r:id="rId1" display="https://microdata.worldbank.org/catalog/6272/variable/F32/V1287?name=s16dq02b" xr:uid="{3B9B91C6-50D3-244E-BDF0-F2D63F564AAF}"/>
    <hyperlink ref="C15" r:id="rId2" display="https://microdata.worldbank.org/catalog/6272/variable/F32/V1294?name=s16dq05b" xr:uid="{474A2476-D223-BA40-AE35-8BEAFE960F40}"/>
    <hyperlink ref="C14" r:id="rId3" display="https://microdata.worldbank.org/catalog/6272/variable/F32/V1290?name=s16dq03b" xr:uid="{C7F3120D-EAF4-934E-A1D2-3F1C87A83631}"/>
    <hyperlink ref="C16" r:id="rId4" display="https://microdata.worldbank.org/catalog/6272/variable/F32/V1307?name=s16dq13b" xr:uid="{3968D091-67C0-E74F-995D-45590C10B9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F463-AA4D-EA47-9D03-DE649A692221}">
  <dimension ref="A1:L74"/>
  <sheetViews>
    <sheetView tabSelected="1" zoomScaleNormal="100" workbookViewId="0">
      <selection activeCell="B18" sqref="B18"/>
    </sheetView>
  </sheetViews>
  <sheetFormatPr baseColWidth="10" defaultRowHeight="15" x14ac:dyDescent="0.2"/>
  <cols>
    <col min="1" max="1" width="23" style="2" customWidth="1"/>
    <col min="2" max="2" width="67.5" style="2" customWidth="1"/>
    <col min="3" max="3" width="17" style="2" customWidth="1"/>
    <col min="4" max="4" width="17.5" style="2" customWidth="1"/>
    <col min="5" max="5" width="47.6640625" style="2" customWidth="1"/>
    <col min="6" max="6" width="72.6640625" style="2" customWidth="1"/>
    <col min="7" max="7" width="85.33203125" style="2" customWidth="1"/>
    <col min="8" max="8" width="73" style="2" customWidth="1"/>
    <col min="9" max="9" width="68.5" style="2" customWidth="1"/>
    <col min="10" max="10" width="94.5" style="2" customWidth="1"/>
    <col min="11" max="11" width="38.6640625" style="2" customWidth="1"/>
    <col min="12" max="12" width="43" style="2" customWidth="1"/>
    <col min="13" max="16384" width="10.83203125" style="2"/>
  </cols>
  <sheetData>
    <row r="1" spans="1:9" x14ac:dyDescent="0.2">
      <c r="A1" s="2" t="s">
        <v>160</v>
      </c>
    </row>
    <row r="2" spans="1:9" x14ac:dyDescent="0.2">
      <c r="A2" s="2" t="s">
        <v>161</v>
      </c>
      <c r="B2" s="2" t="s">
        <v>162</v>
      </c>
      <c r="C2" s="2" t="s">
        <v>163</v>
      </c>
      <c r="D2" s="2" t="s">
        <v>163</v>
      </c>
      <c r="E2" s="2" t="s">
        <v>164</v>
      </c>
    </row>
    <row r="3" spans="1:9" x14ac:dyDescent="0.2">
      <c r="A3" s="2" t="s">
        <v>165</v>
      </c>
      <c r="B3" s="2" t="s">
        <v>165</v>
      </c>
      <c r="C3" s="2" t="s">
        <v>166</v>
      </c>
      <c r="D3" s="2" t="s">
        <v>166</v>
      </c>
      <c r="E3" s="2" t="s">
        <v>164</v>
      </c>
    </row>
    <row r="4" spans="1:9" x14ac:dyDescent="0.2">
      <c r="A4" s="2" t="s">
        <v>167</v>
      </c>
      <c r="B4" s="2" t="s">
        <v>167</v>
      </c>
      <c r="C4" s="2" t="s">
        <v>168</v>
      </c>
      <c r="D4" s="2" t="s">
        <v>168</v>
      </c>
      <c r="E4" s="2" t="s">
        <v>164</v>
      </c>
    </row>
    <row r="5" spans="1:9" x14ac:dyDescent="0.2">
      <c r="A5" s="2" t="s">
        <v>169</v>
      </c>
      <c r="B5" s="2" t="s">
        <v>169</v>
      </c>
      <c r="C5" s="2" t="s">
        <v>170</v>
      </c>
      <c r="D5" s="2" t="s">
        <v>171</v>
      </c>
      <c r="E5" s="2" t="s">
        <v>164</v>
      </c>
    </row>
    <row r="6" spans="1:9" x14ac:dyDescent="0.2">
      <c r="A6" s="2" t="s">
        <v>172</v>
      </c>
      <c r="B6" s="2" t="s">
        <v>172</v>
      </c>
      <c r="C6" s="2" t="s">
        <v>173</v>
      </c>
      <c r="D6" s="2" t="s">
        <v>174</v>
      </c>
      <c r="E6" s="2" t="s">
        <v>164</v>
      </c>
    </row>
    <row r="7" spans="1:9" x14ac:dyDescent="0.2">
      <c r="A7" s="2" t="s">
        <v>175</v>
      </c>
      <c r="B7" s="2" t="s">
        <v>175</v>
      </c>
      <c r="C7" s="2" t="s">
        <v>176</v>
      </c>
      <c r="D7" s="2" t="s">
        <v>177</v>
      </c>
      <c r="E7" s="2" t="s">
        <v>164</v>
      </c>
    </row>
    <row r="8" spans="1:9" x14ac:dyDescent="0.2">
      <c r="A8" s="2" t="s">
        <v>178</v>
      </c>
      <c r="B8" s="2" t="s">
        <v>178</v>
      </c>
      <c r="C8" s="2" t="s">
        <v>179</v>
      </c>
      <c r="E8" s="2" t="s">
        <v>180</v>
      </c>
      <c r="I8" s="2" t="s">
        <v>181</v>
      </c>
    </row>
    <row r="9" spans="1:9" x14ac:dyDescent="0.2">
      <c r="A9" s="2" t="s">
        <v>182</v>
      </c>
      <c r="B9" s="2" t="s">
        <v>183</v>
      </c>
      <c r="C9" s="2" t="s">
        <v>184</v>
      </c>
      <c r="E9" s="2" t="s">
        <v>185</v>
      </c>
      <c r="I9" s="2" t="s">
        <v>185</v>
      </c>
    </row>
    <row r="10" spans="1:9" ht="144" x14ac:dyDescent="0.2">
      <c r="A10" s="2" t="s">
        <v>186</v>
      </c>
      <c r="B10" s="2" t="s">
        <v>187</v>
      </c>
      <c r="C10" s="2" t="s">
        <v>188</v>
      </c>
      <c r="E10" s="1" t="s">
        <v>189</v>
      </c>
      <c r="I10" s="72" t="s">
        <v>189</v>
      </c>
    </row>
    <row r="11" spans="1:9" ht="144" x14ac:dyDescent="0.2">
      <c r="A11" s="2" t="s">
        <v>190</v>
      </c>
      <c r="B11" s="2" t="s">
        <v>191</v>
      </c>
      <c r="C11" s="2" t="s">
        <v>192</v>
      </c>
      <c r="E11" s="1" t="s">
        <v>189</v>
      </c>
      <c r="I11" s="73"/>
    </row>
    <row r="12" spans="1:9" x14ac:dyDescent="0.2">
      <c r="A12" s="2" t="s">
        <v>193</v>
      </c>
      <c r="B12" s="2" t="s">
        <v>194</v>
      </c>
      <c r="C12" s="2" t="s">
        <v>195</v>
      </c>
      <c r="D12" s="2" t="s">
        <v>195</v>
      </c>
      <c r="E12" s="2" t="s">
        <v>196</v>
      </c>
    </row>
    <row r="13" spans="1:9" x14ac:dyDescent="0.2">
      <c r="A13" s="2" t="s">
        <v>197</v>
      </c>
      <c r="B13" s="2" t="s">
        <v>198</v>
      </c>
      <c r="C13" s="2" t="s">
        <v>199</v>
      </c>
      <c r="D13" s="2" t="s">
        <v>199</v>
      </c>
      <c r="E13" s="2" t="s">
        <v>196</v>
      </c>
    </row>
    <row r="14" spans="1:9" x14ac:dyDescent="0.2">
      <c r="A14" s="2" t="s">
        <v>200</v>
      </c>
      <c r="B14" s="2" t="s">
        <v>201</v>
      </c>
      <c r="C14" s="2" t="s">
        <v>202</v>
      </c>
      <c r="D14" s="2" t="s">
        <v>202</v>
      </c>
      <c r="E14" s="2" t="s">
        <v>196</v>
      </c>
    </row>
    <row r="15" spans="1:9" x14ac:dyDescent="0.2">
      <c r="A15" s="2" t="s">
        <v>203</v>
      </c>
      <c r="B15" s="2" t="s">
        <v>204</v>
      </c>
      <c r="C15" s="2" t="s">
        <v>205</v>
      </c>
      <c r="D15" s="2" t="s">
        <v>205</v>
      </c>
      <c r="E15" s="2" t="s">
        <v>196</v>
      </c>
    </row>
    <row r="16" spans="1:9" x14ac:dyDescent="0.2">
      <c r="A16" s="2" t="s">
        <v>206</v>
      </c>
      <c r="B16" s="2" t="s">
        <v>207</v>
      </c>
      <c r="C16" s="2" t="s">
        <v>208</v>
      </c>
      <c r="D16" s="2" t="s">
        <v>208</v>
      </c>
      <c r="E16" s="2" t="s">
        <v>196</v>
      </c>
    </row>
    <row r="17" spans="1:12" x14ac:dyDescent="0.2">
      <c r="A17" s="2" t="s">
        <v>209</v>
      </c>
      <c r="B17" s="2" t="s">
        <v>210</v>
      </c>
      <c r="C17" s="2" t="s">
        <v>211</v>
      </c>
      <c r="E17" s="2" t="s">
        <v>212</v>
      </c>
      <c r="I17" s="2" t="s">
        <v>212</v>
      </c>
    </row>
    <row r="18" spans="1:12" ht="192" x14ac:dyDescent="0.2">
      <c r="A18" s="2" t="s">
        <v>213</v>
      </c>
      <c r="B18" s="2" t="s">
        <v>204</v>
      </c>
      <c r="C18" s="2" t="s">
        <v>214</v>
      </c>
      <c r="E18" s="1" t="s">
        <v>215</v>
      </c>
      <c r="I18" s="1" t="s">
        <v>215</v>
      </c>
    </row>
    <row r="19" spans="1:12" ht="112" x14ac:dyDescent="0.2">
      <c r="A19" s="2" t="s">
        <v>216</v>
      </c>
      <c r="B19" s="2" t="s">
        <v>207</v>
      </c>
      <c r="C19" s="2" t="s">
        <v>217</v>
      </c>
      <c r="E19" s="1" t="s">
        <v>218</v>
      </c>
      <c r="I19" s="1"/>
    </row>
    <row r="20" spans="1:12" ht="192" x14ac:dyDescent="0.2">
      <c r="A20" s="2" t="s">
        <v>219</v>
      </c>
      <c r="B20" s="2" t="s">
        <v>220</v>
      </c>
      <c r="C20" s="2" t="s">
        <v>221</v>
      </c>
      <c r="E20" s="1" t="s">
        <v>222</v>
      </c>
      <c r="I20" s="1"/>
    </row>
    <row r="22" spans="1:12" s="40" customFormat="1" x14ac:dyDescent="0.2">
      <c r="A22" s="40" t="s">
        <v>223</v>
      </c>
    </row>
    <row r="23" spans="1:12" ht="80" x14ac:dyDescent="0.2">
      <c r="A23" s="1" t="s">
        <v>0</v>
      </c>
      <c r="B23" s="1" t="s">
        <v>1</v>
      </c>
      <c r="C23" s="1" t="s">
        <v>21</v>
      </c>
      <c r="D23" s="41" t="s">
        <v>224</v>
      </c>
      <c r="E23" s="41" t="s">
        <v>225</v>
      </c>
      <c r="F23" s="42" t="s">
        <v>226</v>
      </c>
      <c r="G23" s="43" t="s">
        <v>227</v>
      </c>
      <c r="H23" s="43"/>
      <c r="I23" s="1" t="s">
        <v>228</v>
      </c>
      <c r="K23" s="43"/>
      <c r="L23" s="1"/>
    </row>
    <row r="24" spans="1:12" ht="16" x14ac:dyDescent="0.2">
      <c r="A24" s="1" t="s">
        <v>2</v>
      </c>
      <c r="B24" s="1" t="s">
        <v>3</v>
      </c>
      <c r="C24" s="1" t="s">
        <v>22</v>
      </c>
      <c r="D24" s="41" t="s">
        <v>229</v>
      </c>
      <c r="E24" s="41" t="s">
        <v>225</v>
      </c>
      <c r="F24" s="42" t="s">
        <v>230</v>
      </c>
      <c r="G24" s="43" t="s">
        <v>231</v>
      </c>
      <c r="H24" s="43"/>
      <c r="I24" s="59" t="s">
        <v>232</v>
      </c>
      <c r="J24" s="59" t="s">
        <v>233</v>
      </c>
      <c r="K24" s="43"/>
    </row>
    <row r="25" spans="1:12" ht="32" x14ac:dyDescent="0.2">
      <c r="A25" s="1" t="s">
        <v>4</v>
      </c>
      <c r="B25" s="1" t="s">
        <v>5</v>
      </c>
      <c r="C25" s="1"/>
      <c r="D25" s="1" t="s">
        <v>234</v>
      </c>
      <c r="E25" s="41" t="s">
        <v>225</v>
      </c>
      <c r="F25" s="44" t="s">
        <v>235</v>
      </c>
      <c r="G25" s="43" t="s">
        <v>236</v>
      </c>
      <c r="H25" s="41"/>
      <c r="I25" s="59" t="s">
        <v>237</v>
      </c>
      <c r="J25" s="43"/>
      <c r="K25" s="43"/>
    </row>
    <row r="26" spans="1:12" ht="96" x14ac:dyDescent="0.2">
      <c r="A26" s="1" t="s">
        <v>6</v>
      </c>
      <c r="B26" s="1" t="s">
        <v>7</v>
      </c>
      <c r="C26" s="1" t="s">
        <v>23</v>
      </c>
      <c r="D26" s="1" t="s">
        <v>238</v>
      </c>
      <c r="E26" s="41" t="s">
        <v>225</v>
      </c>
      <c r="F26" s="36" t="s">
        <v>239</v>
      </c>
      <c r="G26" s="2" t="s">
        <v>240</v>
      </c>
      <c r="H26" s="1" t="s">
        <v>241</v>
      </c>
      <c r="I26" s="1" t="s">
        <v>242</v>
      </c>
      <c r="L26" s="1"/>
    </row>
    <row r="27" spans="1:12" ht="27" customHeight="1" x14ac:dyDescent="0.2">
      <c r="A27" s="72" t="s">
        <v>8</v>
      </c>
      <c r="B27" s="72" t="s">
        <v>9</v>
      </c>
      <c r="C27" s="72" t="s">
        <v>24</v>
      </c>
      <c r="D27" s="1" t="s">
        <v>243</v>
      </c>
      <c r="E27" s="41" t="s">
        <v>225</v>
      </c>
      <c r="F27" s="36" t="s">
        <v>244</v>
      </c>
      <c r="G27" s="2" t="s">
        <v>245</v>
      </c>
      <c r="I27" s="72" t="s">
        <v>246</v>
      </c>
    </row>
    <row r="28" spans="1:12" ht="46" customHeight="1" x14ac:dyDescent="0.2">
      <c r="A28" s="72"/>
      <c r="B28" s="72"/>
      <c r="C28" s="72"/>
      <c r="D28" s="1" t="s">
        <v>247</v>
      </c>
      <c r="E28" s="41" t="s">
        <v>225</v>
      </c>
      <c r="F28" s="36" t="s">
        <v>248</v>
      </c>
      <c r="G28" s="2" t="s">
        <v>249</v>
      </c>
      <c r="H28" s="41"/>
      <c r="I28" s="72"/>
    </row>
    <row r="29" spans="1:12" ht="17" customHeight="1" x14ac:dyDescent="0.2">
      <c r="A29" s="72" t="s">
        <v>10</v>
      </c>
      <c r="B29" s="72" t="s">
        <v>32</v>
      </c>
      <c r="C29" s="74" t="s">
        <v>31</v>
      </c>
      <c r="D29" s="1" t="s">
        <v>250</v>
      </c>
      <c r="E29" s="41" t="s">
        <v>225</v>
      </c>
      <c r="F29" s="45" t="s">
        <v>251</v>
      </c>
      <c r="G29" s="46" t="s">
        <v>252</v>
      </c>
      <c r="I29" s="72" t="s">
        <v>253</v>
      </c>
    </row>
    <row r="30" spans="1:12" ht="16" x14ac:dyDescent="0.2">
      <c r="A30" s="72"/>
      <c r="B30" s="72"/>
      <c r="C30" s="74"/>
      <c r="D30" s="1" t="s">
        <v>254</v>
      </c>
      <c r="E30" s="41" t="s">
        <v>225</v>
      </c>
      <c r="F30" s="45" t="s">
        <v>255</v>
      </c>
      <c r="G30" s="46" t="s">
        <v>256</v>
      </c>
      <c r="H30" s="41"/>
      <c r="I30" s="72"/>
    </row>
    <row r="31" spans="1:12" ht="16" customHeight="1" x14ac:dyDescent="0.2">
      <c r="A31" s="72"/>
      <c r="B31" s="72"/>
      <c r="C31" s="74"/>
      <c r="D31" s="1" t="s">
        <v>257</v>
      </c>
      <c r="E31" s="41" t="s">
        <v>225</v>
      </c>
      <c r="F31" s="45" t="s">
        <v>258</v>
      </c>
      <c r="G31" s="46" t="s">
        <v>259</v>
      </c>
      <c r="H31" s="41"/>
      <c r="I31" s="72"/>
    </row>
    <row r="32" spans="1:12" ht="62" customHeight="1" x14ac:dyDescent="0.2">
      <c r="A32" s="72"/>
      <c r="B32" s="72"/>
      <c r="C32" s="74"/>
      <c r="D32" s="1" t="s">
        <v>260</v>
      </c>
      <c r="E32" s="41" t="s">
        <v>225</v>
      </c>
      <c r="F32" s="36" t="s">
        <v>261</v>
      </c>
      <c r="G32" s="37" t="s">
        <v>262</v>
      </c>
      <c r="H32" s="41" t="s">
        <v>263</v>
      </c>
      <c r="I32" s="72"/>
    </row>
    <row r="33" spans="1:10" ht="16" x14ac:dyDescent="0.2">
      <c r="A33" s="1" t="s">
        <v>11</v>
      </c>
      <c r="B33" s="1" t="s">
        <v>12</v>
      </c>
      <c r="C33" s="1" t="s">
        <v>25</v>
      </c>
      <c r="D33" s="1"/>
      <c r="E33" s="1"/>
      <c r="I33" s="2" t="s">
        <v>264</v>
      </c>
    </row>
    <row r="34" spans="1:10" ht="16" x14ac:dyDescent="0.2">
      <c r="A34" s="1" t="s">
        <v>13</v>
      </c>
      <c r="B34" s="1" t="s">
        <v>14</v>
      </c>
      <c r="C34" s="1" t="s">
        <v>26</v>
      </c>
      <c r="D34" s="1"/>
      <c r="E34" s="1"/>
    </row>
    <row r="35" spans="1:10" ht="16" x14ac:dyDescent="0.2">
      <c r="A35" s="1" t="s">
        <v>15</v>
      </c>
      <c r="B35" s="1" t="s">
        <v>16</v>
      </c>
      <c r="C35" s="1" t="s">
        <v>27</v>
      </c>
      <c r="D35" s="1"/>
      <c r="E35" s="1"/>
    </row>
    <row r="36" spans="1:10" ht="16" x14ac:dyDescent="0.2">
      <c r="A36" s="1" t="s">
        <v>17</v>
      </c>
      <c r="B36" s="1" t="s">
        <v>18</v>
      </c>
      <c r="C36" s="1" t="s">
        <v>28</v>
      </c>
      <c r="D36" s="1"/>
      <c r="E36" s="1"/>
    </row>
    <row r="37" spans="1:10" ht="16" x14ac:dyDescent="0.2">
      <c r="A37" s="1" t="s">
        <v>19</v>
      </c>
      <c r="B37" s="1" t="s">
        <v>20</v>
      </c>
      <c r="C37" s="1" t="s">
        <v>29</v>
      </c>
      <c r="D37" s="1"/>
      <c r="E37" s="1"/>
    </row>
    <row r="38" spans="1:10" s="60" customFormat="1" x14ac:dyDescent="0.2">
      <c r="A38" s="75" t="s">
        <v>50</v>
      </c>
      <c r="B38" s="75"/>
      <c r="C38" s="75"/>
      <c r="D38" s="75"/>
      <c r="E38" s="75"/>
    </row>
    <row r="39" spans="1:10" ht="16" x14ac:dyDescent="0.2">
      <c r="A39" s="72" t="s">
        <v>33</v>
      </c>
      <c r="B39" s="72"/>
      <c r="C39" s="72" t="s">
        <v>145</v>
      </c>
      <c r="D39" s="1" t="s">
        <v>265</v>
      </c>
      <c r="E39" s="2" t="s">
        <v>225</v>
      </c>
      <c r="F39" s="36" t="s">
        <v>266</v>
      </c>
      <c r="G39" s="2" t="s">
        <v>267</v>
      </c>
      <c r="J39" s="72" t="s">
        <v>268</v>
      </c>
    </row>
    <row r="40" spans="1:10" ht="16" x14ac:dyDescent="0.2">
      <c r="A40" s="72"/>
      <c r="B40" s="72"/>
      <c r="C40" s="72"/>
      <c r="D40" s="1" t="s">
        <v>269</v>
      </c>
      <c r="E40" s="2" t="s">
        <v>225</v>
      </c>
      <c r="F40" s="36" t="s">
        <v>270</v>
      </c>
      <c r="G40" s="2" t="s">
        <v>271</v>
      </c>
      <c r="J40" s="73"/>
    </row>
    <row r="41" spans="1:10" ht="16" x14ac:dyDescent="0.2">
      <c r="A41" s="72"/>
      <c r="B41" s="72"/>
      <c r="C41" s="72"/>
      <c r="D41" s="1" t="s">
        <v>272</v>
      </c>
      <c r="E41" s="2" t="s">
        <v>225</v>
      </c>
      <c r="F41" s="36" t="s">
        <v>273</v>
      </c>
      <c r="G41" s="2" t="s">
        <v>274</v>
      </c>
      <c r="J41" s="73"/>
    </row>
    <row r="42" spans="1:10" ht="16" x14ac:dyDescent="0.2">
      <c r="A42" s="1" t="s">
        <v>34</v>
      </c>
      <c r="B42" s="1"/>
      <c r="C42" s="1"/>
      <c r="D42" s="1"/>
      <c r="E42" s="1"/>
    </row>
    <row r="43" spans="1:10" s="48" customFormat="1" ht="17" thickBot="1" x14ac:dyDescent="0.25">
      <c r="A43" s="53" t="s">
        <v>35</v>
      </c>
      <c r="B43" s="53"/>
      <c r="C43" s="53"/>
      <c r="D43" s="53"/>
      <c r="E43" s="53"/>
    </row>
    <row r="44" spans="1:10" s="49" customFormat="1" ht="16" thickTop="1" x14ac:dyDescent="0.2">
      <c r="A44" s="49" t="s">
        <v>275</v>
      </c>
    </row>
    <row r="45" spans="1:10" ht="192" x14ac:dyDescent="0.2">
      <c r="A45" s="2" t="s">
        <v>276</v>
      </c>
      <c r="C45" s="2" t="s">
        <v>277</v>
      </c>
      <c r="D45" s="2" t="s">
        <v>278</v>
      </c>
      <c r="F45" s="57" t="s">
        <v>279</v>
      </c>
      <c r="G45" s="58" t="s">
        <v>280</v>
      </c>
      <c r="H45" s="1" t="s">
        <v>281</v>
      </c>
    </row>
    <row r="46" spans="1:10" x14ac:dyDescent="0.2">
      <c r="B46" s="2" t="s">
        <v>282</v>
      </c>
      <c r="C46" s="2" t="s">
        <v>283</v>
      </c>
      <c r="G46" s="58"/>
      <c r="H46" s="72" t="s">
        <v>284</v>
      </c>
    </row>
    <row r="47" spans="1:10" x14ac:dyDescent="0.2">
      <c r="B47" s="2" t="s">
        <v>285</v>
      </c>
      <c r="C47" s="2" t="s">
        <v>286</v>
      </c>
      <c r="G47" s="58"/>
      <c r="H47" s="72"/>
    </row>
    <row r="48" spans="1:10" x14ac:dyDescent="0.2">
      <c r="B48" s="2" t="s">
        <v>287</v>
      </c>
      <c r="C48" s="2" t="s">
        <v>288</v>
      </c>
      <c r="G48" s="58"/>
      <c r="H48" s="72"/>
    </row>
    <row r="49" spans="1:8" x14ac:dyDescent="0.2">
      <c r="B49" s="2" t="s">
        <v>289</v>
      </c>
      <c r="C49" s="2" t="s">
        <v>290</v>
      </c>
      <c r="G49" s="58"/>
      <c r="H49" s="72"/>
    </row>
    <row r="50" spans="1:8" ht="16" customHeight="1" x14ac:dyDescent="0.2">
      <c r="B50" s="2" t="s">
        <v>291</v>
      </c>
      <c r="C50" s="2" t="s">
        <v>292</v>
      </c>
      <c r="D50" s="2" t="s">
        <v>293</v>
      </c>
      <c r="F50" s="36" t="s">
        <v>294</v>
      </c>
      <c r="G50" s="37" t="s">
        <v>295</v>
      </c>
      <c r="H50" s="72"/>
    </row>
    <row r="51" spans="1:8" x14ac:dyDescent="0.2">
      <c r="B51" s="2" t="s">
        <v>296</v>
      </c>
      <c r="C51" s="2" t="s">
        <v>297</v>
      </c>
      <c r="D51" s="2" t="s">
        <v>124</v>
      </c>
      <c r="F51" s="36" t="s">
        <v>298</v>
      </c>
      <c r="G51" s="37" t="s">
        <v>299</v>
      </c>
      <c r="H51" s="72"/>
    </row>
    <row r="52" spans="1:8" x14ac:dyDescent="0.2">
      <c r="B52" s="2" t="s">
        <v>300</v>
      </c>
      <c r="C52" s="2" t="s">
        <v>301</v>
      </c>
      <c r="D52" s="2" t="s">
        <v>302</v>
      </c>
      <c r="F52" s="36" t="s">
        <v>303</v>
      </c>
      <c r="G52" s="37" t="s">
        <v>304</v>
      </c>
      <c r="H52" s="72"/>
    </row>
    <row r="53" spans="1:8" x14ac:dyDescent="0.2">
      <c r="B53" s="2" t="s">
        <v>305</v>
      </c>
      <c r="C53" s="2" t="s">
        <v>306</v>
      </c>
      <c r="D53" s="2" t="s">
        <v>307</v>
      </c>
      <c r="F53" s="36" t="s">
        <v>308</v>
      </c>
      <c r="G53" s="61" t="s">
        <v>309</v>
      </c>
      <c r="H53" s="72"/>
    </row>
    <row r="54" spans="1:8" ht="15" customHeight="1" x14ac:dyDescent="0.2">
      <c r="B54" s="2" t="s">
        <v>310</v>
      </c>
      <c r="C54" s="2" t="s">
        <v>311</v>
      </c>
      <c r="D54" s="2" t="s">
        <v>123</v>
      </c>
      <c r="F54" s="36" t="s">
        <v>127</v>
      </c>
      <c r="G54" s="37" t="s">
        <v>128</v>
      </c>
      <c r="H54" s="72"/>
    </row>
    <row r="55" spans="1:8" ht="15" customHeight="1" x14ac:dyDescent="0.2">
      <c r="B55" s="2" t="s">
        <v>312</v>
      </c>
      <c r="C55" s="2" t="s">
        <v>313</v>
      </c>
      <c r="D55" s="2" t="s">
        <v>124</v>
      </c>
      <c r="F55" s="36" t="s">
        <v>129</v>
      </c>
      <c r="G55" s="37" t="s">
        <v>130</v>
      </c>
      <c r="H55" s="72"/>
    </row>
    <row r="56" spans="1:8" ht="15" customHeight="1" x14ac:dyDescent="0.2">
      <c r="B56" s="2" t="s">
        <v>314</v>
      </c>
      <c r="C56" s="2" t="s">
        <v>315</v>
      </c>
      <c r="D56" s="2" t="s">
        <v>125</v>
      </c>
      <c r="F56" s="36" t="s">
        <v>131</v>
      </c>
      <c r="G56" s="37" t="s">
        <v>132</v>
      </c>
      <c r="H56" s="72"/>
    </row>
    <row r="57" spans="1:8" ht="15" customHeight="1" x14ac:dyDescent="0.2">
      <c r="B57" s="2" t="s">
        <v>316</v>
      </c>
      <c r="C57" s="2" t="s">
        <v>317</v>
      </c>
      <c r="D57" s="2" t="s">
        <v>126</v>
      </c>
      <c r="G57" s="37" t="s">
        <v>133</v>
      </c>
      <c r="H57" s="72"/>
    </row>
    <row r="58" spans="1:8" ht="80" x14ac:dyDescent="0.2">
      <c r="C58" s="2" t="s">
        <v>37</v>
      </c>
      <c r="H58" s="1" t="s">
        <v>318</v>
      </c>
    </row>
    <row r="59" spans="1:8" s="60" customFormat="1" x14ac:dyDescent="0.2">
      <c r="A59" s="62" t="s">
        <v>349</v>
      </c>
      <c r="B59" s="62"/>
      <c r="C59" s="54"/>
    </row>
    <row r="60" spans="1:8" s="66" customFormat="1" ht="64" x14ac:dyDescent="0.2">
      <c r="A60" s="63"/>
      <c r="B60" s="63"/>
      <c r="C60" s="51" t="s">
        <v>400</v>
      </c>
      <c r="D60" s="64" t="s">
        <v>381</v>
      </c>
      <c r="E60" s="65" t="s">
        <v>350</v>
      </c>
      <c r="F60" s="64" t="s">
        <v>382</v>
      </c>
      <c r="G60" s="37" t="s">
        <v>383</v>
      </c>
      <c r="H60" s="1" t="s">
        <v>391</v>
      </c>
    </row>
    <row r="61" spans="1:8" ht="64" x14ac:dyDescent="0.2">
      <c r="A61" s="55"/>
      <c r="B61" s="55" t="s">
        <v>352</v>
      </c>
      <c r="C61" s="51" t="s">
        <v>401</v>
      </c>
      <c r="D61" s="64" t="s">
        <v>351</v>
      </c>
      <c r="E61" s="2" t="s">
        <v>350</v>
      </c>
      <c r="F61" s="42" t="s">
        <v>389</v>
      </c>
      <c r="G61" s="41" t="s">
        <v>390</v>
      </c>
      <c r="H61" s="1" t="s">
        <v>391</v>
      </c>
    </row>
    <row r="62" spans="1:8" ht="32" x14ac:dyDescent="0.2">
      <c r="A62" s="55"/>
      <c r="C62" s="51" t="s">
        <v>402</v>
      </c>
      <c r="D62" s="37" t="s">
        <v>353</v>
      </c>
      <c r="E62" s="2" t="s">
        <v>350</v>
      </c>
      <c r="F62" s="56" t="s">
        <v>354</v>
      </c>
      <c r="G62" s="37" t="s">
        <v>355</v>
      </c>
      <c r="H62" s="41" t="s">
        <v>356</v>
      </c>
    </row>
    <row r="63" spans="1:8" ht="32" x14ac:dyDescent="0.2">
      <c r="A63" s="55"/>
      <c r="B63" s="55"/>
      <c r="C63" s="51" t="s">
        <v>403</v>
      </c>
      <c r="D63" s="37" t="s">
        <v>384</v>
      </c>
      <c r="E63" s="2" t="s">
        <v>350</v>
      </c>
      <c r="F63" s="56" t="s">
        <v>357</v>
      </c>
      <c r="G63" s="37" t="s">
        <v>358</v>
      </c>
      <c r="H63" s="1" t="s">
        <v>388</v>
      </c>
    </row>
    <row r="64" spans="1:8" ht="64" x14ac:dyDescent="0.2">
      <c r="A64" s="55"/>
      <c r="B64" s="55"/>
      <c r="C64" s="51" t="s">
        <v>404</v>
      </c>
      <c r="D64" s="37" t="s">
        <v>386</v>
      </c>
      <c r="E64" s="65" t="s">
        <v>350</v>
      </c>
      <c r="F64" s="56" t="s">
        <v>359</v>
      </c>
      <c r="G64" s="37" t="s">
        <v>360</v>
      </c>
      <c r="H64" s="1" t="s">
        <v>385</v>
      </c>
    </row>
    <row r="65" spans="1:9" ht="64" x14ac:dyDescent="0.2">
      <c r="A65" s="55"/>
      <c r="B65" s="55"/>
      <c r="C65" s="51" t="s">
        <v>405</v>
      </c>
      <c r="D65" s="64" t="s">
        <v>361</v>
      </c>
      <c r="E65" s="65" t="s">
        <v>350</v>
      </c>
      <c r="F65" s="56" t="s">
        <v>362</v>
      </c>
      <c r="G65" s="37" t="s">
        <v>363</v>
      </c>
      <c r="H65" s="41" t="s">
        <v>364</v>
      </c>
    </row>
    <row r="66" spans="1:9" ht="32" x14ac:dyDescent="0.2">
      <c r="A66" s="55"/>
      <c r="B66" s="55"/>
      <c r="C66" s="51" t="s">
        <v>406</v>
      </c>
      <c r="D66" s="37" t="s">
        <v>365</v>
      </c>
      <c r="E66" s="65" t="s">
        <v>350</v>
      </c>
      <c r="F66" s="56" t="s">
        <v>366</v>
      </c>
      <c r="G66" s="37" t="s">
        <v>367</v>
      </c>
      <c r="H66" s="41" t="s">
        <v>368</v>
      </c>
      <c r="I66" s="37"/>
    </row>
    <row r="67" spans="1:9" ht="64" x14ac:dyDescent="0.2">
      <c r="C67" s="51" t="s">
        <v>407</v>
      </c>
      <c r="D67" s="37" t="s">
        <v>369</v>
      </c>
      <c r="E67" s="65" t="s">
        <v>350</v>
      </c>
      <c r="F67" s="56" t="s">
        <v>370</v>
      </c>
      <c r="G67" s="37" t="s">
        <v>371</v>
      </c>
      <c r="H67" s="41" t="s">
        <v>372</v>
      </c>
    </row>
    <row r="68" spans="1:9" ht="64" x14ac:dyDescent="0.2">
      <c r="C68" s="51" t="s">
        <v>397</v>
      </c>
      <c r="D68" s="37" t="s">
        <v>393</v>
      </c>
      <c r="E68" s="65" t="s">
        <v>350</v>
      </c>
      <c r="F68" s="56" t="s">
        <v>373</v>
      </c>
      <c r="G68" s="37" t="s">
        <v>374</v>
      </c>
      <c r="H68" s="1" t="s">
        <v>387</v>
      </c>
    </row>
    <row r="69" spans="1:9" ht="23" customHeight="1" x14ac:dyDescent="0.2">
      <c r="C69" s="51" t="s">
        <v>408</v>
      </c>
      <c r="D69" s="37" t="s">
        <v>394</v>
      </c>
      <c r="E69" s="65" t="s">
        <v>350</v>
      </c>
      <c r="F69" s="56" t="s">
        <v>375</v>
      </c>
      <c r="G69" s="37" t="s">
        <v>376</v>
      </c>
      <c r="H69" s="71" t="s">
        <v>392</v>
      </c>
    </row>
    <row r="70" spans="1:9" ht="23" customHeight="1" x14ac:dyDescent="0.2">
      <c r="C70" s="51" t="s">
        <v>409</v>
      </c>
      <c r="D70" s="37" t="s">
        <v>395</v>
      </c>
      <c r="E70" s="65" t="s">
        <v>350</v>
      </c>
      <c r="F70" s="56" t="s">
        <v>377</v>
      </c>
      <c r="G70" s="37" t="s">
        <v>378</v>
      </c>
      <c r="H70" s="71"/>
    </row>
    <row r="71" spans="1:9" ht="23" customHeight="1" x14ac:dyDescent="0.2">
      <c r="C71" s="51" t="s">
        <v>410</v>
      </c>
      <c r="D71" s="37" t="s">
        <v>396</v>
      </c>
      <c r="E71" s="65" t="s">
        <v>350</v>
      </c>
      <c r="F71" s="56" t="s">
        <v>379</v>
      </c>
      <c r="G71" s="37" t="s">
        <v>380</v>
      </c>
      <c r="H71" s="71"/>
    </row>
    <row r="73" spans="1:9" x14ac:dyDescent="0.2">
      <c r="B73" s="1"/>
    </row>
    <row r="74" spans="1:9" x14ac:dyDescent="0.2">
      <c r="B74" s="1"/>
    </row>
  </sheetData>
  <mergeCells count="16">
    <mergeCell ref="H69:H71"/>
    <mergeCell ref="J39:J41"/>
    <mergeCell ref="H46:H57"/>
    <mergeCell ref="I10:I11"/>
    <mergeCell ref="A27:A28"/>
    <mergeCell ref="B27:B28"/>
    <mergeCell ref="C27:C28"/>
    <mergeCell ref="I27:I28"/>
    <mergeCell ref="A29:A32"/>
    <mergeCell ref="B29:B32"/>
    <mergeCell ref="C29:C32"/>
    <mergeCell ref="I29:I32"/>
    <mergeCell ref="A38:E38"/>
    <mergeCell ref="A39:A41"/>
    <mergeCell ref="B39:B41"/>
    <mergeCell ref="C39:C41"/>
  </mergeCells>
  <phoneticPr fontId="15" type="noConversion"/>
  <hyperlinks>
    <hyperlink ref="F23" r:id="rId1" display="https://microdata.worldbank.org/catalog/6272/variable/F29/V1022?name=s16aq15" xr:uid="{F4D64134-D57E-1D45-8086-5D31E296AE07}"/>
    <hyperlink ref="F24" r:id="rId2" display="https://microdata.worldbank.org/catalog/6272/variable/F29/V1018?name=s16aq14a__0" xr:uid="{BA43411F-5113-6C41-8DAA-54FD3239695E}"/>
    <hyperlink ref="F26" r:id="rId3" display="https://microdata.worldbank.org/catalog/6272/variable/F29/V1009?name=s16aq10" xr:uid="{2A3B714C-4E4D-8840-AACF-537556F14A5E}"/>
    <hyperlink ref="F25" r:id="rId4" display="https://microdata.worldbank.org/catalog/6272/variable/F29/V1020?name=s16aq14b__0" xr:uid="{5971F1CF-DA0B-5D4C-BB3E-F5FF8FFAA692}"/>
    <hyperlink ref="F27" r:id="rId5" display="https://microdata.worldbank.org/catalog/6272/variable/F29/V1007?name=s16aq09a" xr:uid="{DC496D14-CDFE-D74F-BD39-7F45B8F4B9B2}"/>
    <hyperlink ref="F28" r:id="rId6" display="https://microdata.worldbank.org/catalog/6272/variable/F29/V1008?name=s16aq09b" xr:uid="{B5D63CD4-FB51-4C47-AB85-7E1E4424F2BF}"/>
    <hyperlink ref="F29" r:id="rId7" display="https://microdata.worldbank.org/catalog/6272/variable/F29/V1030?name=s16aq22" xr:uid="{35CC6621-F093-E54C-B5FD-E4007914B336}"/>
    <hyperlink ref="F30" r:id="rId8" display="https://microdata.worldbank.org/catalog/6272/variable/F29/V1035?name=s16aq25" xr:uid="{C438E5CA-449B-1446-A1C9-C7AB544E4A61}"/>
    <hyperlink ref="F31" r:id="rId9" display="https://microdata.worldbank.org/catalog/6272/variable/F29/V1037?name=s16aq27" xr:uid="{C3BBB175-B720-EC4C-BBA3-46DED43A7BA3}"/>
    <hyperlink ref="F45" r:id="rId10" display="https://microdata.worldbank.org/catalog/6272/variable/F31/V1264?name=s16cq04" xr:uid="{E17E2FFF-D10D-E547-A2E9-0CD5E4DABB9F}"/>
    <hyperlink ref="F50" r:id="rId11" display="https://microdata.worldbank.org/catalog/6272/variable/F32/V1286?name=s16dq02a" xr:uid="{81148292-77AE-6345-B1FF-CFD38FFC9B42}"/>
    <hyperlink ref="F54" r:id="rId12" display="https://microdata.worldbank.org/catalog/6272/variable/F32/V1287?name=s16dq02b" xr:uid="{31F82AB6-DE4D-834C-8BEF-68D79A6CEEF5}"/>
    <hyperlink ref="F52" r:id="rId13" display="https://microdata.worldbank.org/catalog/6272/variable/F32/V1293?name=s16dq05a" xr:uid="{2DA05C7A-CD80-3448-AA5F-84BA8E0D9CCE}"/>
    <hyperlink ref="F56" r:id="rId14" display="https://microdata.worldbank.org/catalog/6272/variable/F32/V1294?name=s16dq05b" xr:uid="{A0573D4A-755B-2146-8280-3885AAB9088B}"/>
    <hyperlink ref="F51" r:id="rId15" display="https://microdata.worldbank.org/catalog/6272/variable/F32/V1289?name=s16dq03a" xr:uid="{C358EF15-B184-5443-A48D-41E0E1D8A7F1}"/>
    <hyperlink ref="F55" r:id="rId16" display="https://microdata.worldbank.org/catalog/6272/variable/F32/V1290?name=s16dq03b" xr:uid="{8E9C6753-C5AE-154D-8AFA-1A08EA308937}"/>
    <hyperlink ref="F53" r:id="rId17" display="https://microdata.worldbank.org/catalog/6272/variable/F32/V1306?name=s16dq13a" xr:uid="{4F490ED6-69CE-B544-8B37-8253456EC3A4}"/>
    <hyperlink ref="F32" r:id="rId18" display="https://microdata.worldbank.org/catalog/6272/variable/F31/V1269?name=s16cq09" xr:uid="{64E1E24B-50A4-D342-ADDB-F189831B0037}"/>
    <hyperlink ref="F39" r:id="rId19" display="https://microdata.worldbank.org/catalog/6272/variable/F29/V1061?name=s16aq33b_1" xr:uid="{00212B54-FD31-5148-A1FC-767064A8BA03}"/>
    <hyperlink ref="F40" r:id="rId20" display="https://microdata.worldbank.org/catalog/6272/variable/F29/V1106?name=s16aq35b_1" xr:uid="{99BC15A7-E480-AD40-9A4F-17DF7E1E13F7}"/>
    <hyperlink ref="F41" r:id="rId21" display="https://microdata.worldbank.org/catalog/6272/variable/F29/V1151?name=s16aq37b_1" xr:uid="{EB68951C-8304-6B46-8785-03ACDD138F95}"/>
    <hyperlink ref="D61" r:id="rId22" display="https://microdata.worldbank.org/catalog/6272/variable/F39/V1591?name=s20bq04d" xr:uid="{15B5974B-FDD9-2B4D-89E1-61215BD175E7}"/>
    <hyperlink ref="F62" r:id="rId23" display="https://microdata.worldbank.org/catalog/6272/variable/F39/V1592?name=s20bq06a" xr:uid="{9A2C25A2-56A1-9540-8A39-58AC644A8D28}"/>
    <hyperlink ref="F63" r:id="rId24" display="https://microdata.worldbank.org/catalog/6272/variable/F39/V1593?name=s20bq06b" xr:uid="{6170BE5E-2F9D-AB47-BB67-FBACB0F93827}"/>
    <hyperlink ref="F64" r:id="rId25" display="https://microdata.worldbank.org/catalog/6272/variable/F39/V1595?name=s20bq07b" xr:uid="{7823ADB5-41A3-F644-9743-5D66ECC91807}"/>
    <hyperlink ref="F65" r:id="rId26" display="https://microdata.worldbank.org/catalog/6272/variable/F39/V1596?name=s20bq07c" xr:uid="{AD4FBA32-C634-3045-8C2F-D379A5D9129A}"/>
    <hyperlink ref="D65" r:id="rId27" display="https://microdata.worldbank.org/catalog/6272/variable/F39/V1596?name=s20bq07c" xr:uid="{B1615A1F-8E7A-F149-8553-FC51BBB0F53F}"/>
    <hyperlink ref="F66" r:id="rId28" display="https://microdata.worldbank.org/catalog/6272/variable/F39/V1599?name=s20bq08__3" xr:uid="{D8832F21-26B8-AF40-849B-A63CACB79ACB}"/>
    <hyperlink ref="F67" r:id="rId29" display="https://microdata.worldbank.org/catalog/6272/variable/F39/V1601?name=s20bq09" xr:uid="{09621CF2-9A34-7E42-B3E3-FFC7F09BB08A}"/>
    <hyperlink ref="F68" r:id="rId30" display="https://microdata.worldbank.org/catalog/6272/variable/F39/V1603?name=s20bq11" xr:uid="{60C14F16-977F-0144-B911-974544915949}"/>
    <hyperlink ref="F69" r:id="rId31" display="https://microdata.worldbank.org/catalog/6272/variable/F39/V1622?name=s20bq13h" xr:uid="{DE47AAD2-38D0-9F40-8E31-51AB49A94CA6}"/>
    <hyperlink ref="F70" r:id="rId32" display="https://microdata.worldbank.org/catalog/6272/variable/F39/V1623?name=s20bq13i" xr:uid="{460A6266-B7AF-6F43-8EA8-B9AC99C26836}"/>
    <hyperlink ref="F71" r:id="rId33" display="https://microdata.worldbank.org/catalog/6272/variable/F39/V1624?name=s20bq13j" xr:uid="{72A4F8DF-802D-4B45-962E-AE00E8D50862}"/>
    <hyperlink ref="D60" r:id="rId34" display="https://microdata.worldbank.org/catalog/6272/variable/F39/V1587?name=s20bq03" xr:uid="{32E9C753-6FE6-1E48-8144-9EAE825F0385}"/>
    <hyperlink ref="F61" r:id="rId35" xr:uid="{CF7DFAE4-7157-0E4E-9F17-7AC8304B02E3}"/>
    <hyperlink ref="F60" r:id="rId36" xr:uid="{945C6AA4-4390-1948-9E3C-3EDD7A5585B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Definitions</vt:lpstr>
      <vt:lpstr>Crop Codes, Groups, Prices</vt:lpstr>
      <vt:lpstr>Local Units</vt:lpstr>
      <vt:lpstr>Variable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Oliver, Lauren</dc:creator>
  <cp:lastModifiedBy>Oliver, Lauren</cp:lastModifiedBy>
  <dcterms:created xsi:type="dcterms:W3CDTF">2026-06-08T15:38:17Z</dcterms:created>
  <dcterms:modified xsi:type="dcterms:W3CDTF">2026-10-14T17:59:42Z</dcterms:modified>
</cp:coreProperties>
</file>